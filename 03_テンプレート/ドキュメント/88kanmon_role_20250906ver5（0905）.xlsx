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ate1904="1"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D:\Dropbox\isis\感門団\88感門\"/>
    </mc:Choice>
  </mc:AlternateContent>
  <xr:revisionPtr revIDLastSave="0" documentId="13_ncr:1_{8D87F610-955E-4803-8A4D-FCF2F7D6CA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88ロール表" sheetId="5" r:id="rId1"/>
    <sheet name="85ロール表" sheetId="4" r:id="rId2"/>
    <sheet name="66ロール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54" i="5" l="1"/>
  <c r="B52" i="5"/>
  <c r="B51" i="5"/>
  <c r="B49" i="5"/>
  <c r="B48" i="5"/>
  <c r="C48" i="5"/>
  <c r="B53" i="5" s="1"/>
  <c r="B54" i="5" s="1"/>
  <c r="C41" i="5"/>
  <c r="C32" i="5"/>
  <c r="C19" i="5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20" i="5"/>
  <c r="B21" i="5" s="1"/>
  <c r="C22" i="5"/>
  <c r="AI17" i="5"/>
  <c r="AH17" i="5"/>
  <c r="AG17" i="5"/>
  <c r="AF17" i="5"/>
  <c r="B59" i="5" l="1"/>
  <c r="B55" i="5"/>
  <c r="B56" i="5" s="1"/>
  <c r="B57" i="5" s="1"/>
  <c r="B58" i="5" s="1"/>
  <c r="B42" i="5"/>
  <c r="B43" i="5" s="1"/>
  <c r="B44" i="5" s="1"/>
  <c r="B45" i="5" s="1"/>
  <c r="B46" i="5" s="1"/>
  <c r="B47" i="5" s="1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F17" i="5"/>
  <c r="Q17" i="5"/>
  <c r="P17" i="5"/>
  <c r="O17" i="5"/>
  <c r="N17" i="5"/>
  <c r="M17" i="5"/>
  <c r="L17" i="5"/>
  <c r="K17" i="5"/>
  <c r="J17" i="5"/>
  <c r="I17" i="5"/>
  <c r="H17" i="5"/>
  <c r="G17" i="5"/>
  <c r="Q17" i="4"/>
  <c r="T17" i="4"/>
  <c r="U17" i="4"/>
  <c r="R17" i="4"/>
  <c r="S17" i="4"/>
  <c r="B50" i="5" l="1"/>
  <c r="N17" i="4"/>
  <c r="O17" i="4"/>
  <c r="Y17" i="4"/>
  <c r="P17" i="4"/>
  <c r="V17" i="4"/>
  <c r="M17" i="4"/>
  <c r="AD17" i="4"/>
  <c r="X17" i="4"/>
  <c r="J17" i="4"/>
  <c r="K17" i="4"/>
  <c r="W17" i="4"/>
  <c r="AE17" i="4"/>
  <c r="F17" i="4"/>
  <c r="G17" i="4"/>
  <c r="AB17" i="4" l="1"/>
  <c r="AF17" i="4"/>
  <c r="AG17" i="4"/>
  <c r="H17" i="4"/>
  <c r="I17" i="4"/>
  <c r="L17" i="4"/>
  <c r="AA17" i="4"/>
  <c r="AC17" i="4"/>
  <c r="Z17" i="4"/>
  <c r="V18" i="3"/>
  <c r="U18" i="3"/>
  <c r="S18" i="3"/>
  <c r="T18" i="3"/>
  <c r="R18" i="3"/>
  <c r="Q18" i="3"/>
  <c r="P18" i="3"/>
  <c r="O18" i="3"/>
  <c r="N18" i="3"/>
  <c r="L18" i="3"/>
  <c r="K18" i="3"/>
  <c r="B6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nakayama</author>
  </authors>
  <commentList>
    <comment ref="AE19" authorId="0" shapeId="0" xr:uid="{4E341C99-63FF-4FB7-89B7-B299729DE857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F19" authorId="0" shapeId="0" xr:uid="{3D1E72C2-1250-480D-88EC-DDFAC4F5BD06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G19" authorId="0" shapeId="0" xr:uid="{BDE5F4D8-B22E-4FD3-B7CF-B397AA4E32A4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F20" authorId="0" shapeId="0" xr:uid="{C55F261F-3361-4931-8271-52865A74D1C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G20" authorId="0" shapeId="0" xr:uid="{112DDABC-AB9E-4849-AF9E-066CBFA76B92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F21" authorId="0" shapeId="0" xr:uid="{90C2C15F-ECB1-403F-A2C5-0E14C461259D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G21" authorId="0" shapeId="0" xr:uid="{16B37B13-37C4-4282-8AAA-B65826C9C8F9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F22" authorId="0" shapeId="0" xr:uid="{262EC208-4C68-41A1-BA98-58353855D884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AG22" authorId="0" shapeId="0" xr:uid="{FC1241B8-D596-42DD-BBE9-5D68FC93EC29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nakayama</author>
  </authors>
  <commentList>
    <comment ref="O20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0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1" authorId="0" shapeId="0" xr:uid="{00000000-0006-0000-00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1" authorId="0" shapeId="0" xr:uid="{00000000-0006-0000-0000-000004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2" authorId="0" shapeId="0" xr:uid="{00000000-0006-0000-00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2" authorId="0" shapeId="0" xr:uid="{00000000-0006-0000-0000-000006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3" authorId="0" shapeId="0" xr:uid="{00000000-0006-0000-00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3" authorId="0" shapeId="0" xr:uid="{00000000-0006-0000-00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5" authorId="0" shapeId="0" xr:uid="{00000000-0006-0000-0000-000009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5" authorId="0" shapeId="0" xr:uid="{00000000-0006-0000-00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6" authorId="0" shapeId="0" xr:uid="{00000000-0006-0000-00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6" authorId="0" shapeId="0" xr:uid="{00000000-0006-0000-00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8" authorId="0" shapeId="0" xr:uid="{00000000-0006-0000-00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P28" authorId="0" shapeId="0" xr:uid="{00000000-0006-0000-0000-00000E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  <comment ref="O29" authorId="0" shapeId="0" xr:uid="{00000000-0006-0000-0000-00000F000000}">
      <text>
        <r>
          <rPr>
            <sz val="9"/>
            <color indexed="81"/>
            <rFont val="ＭＳ Ｐゴシック"/>
            <family val="3"/>
            <charset val="128"/>
          </rPr>
          <t xml:space="preserve">カウンター横にて
遅れて参加する人の
確認と名札、資料等の
お渡し
</t>
        </r>
      </text>
    </comment>
  </commentList>
</comments>
</file>

<file path=xl/sharedStrings.xml><?xml version="1.0" encoding="utf-8"?>
<sst xmlns="http://schemas.openxmlformats.org/spreadsheetml/2006/main" count="1806" uniqueCount="441">
  <si>
    <t>稼働時間／各ロール確認表　（作成者：村井）</t>
    <rPh sb="5" eb="6">
      <t>カク</t>
    </rPh>
    <rPh sb="9" eb="11">
      <t>カクニン</t>
    </rPh>
    <rPh sb="11" eb="12">
      <t>ヒョウ</t>
    </rPh>
    <rPh sb="14" eb="17">
      <t>サクセイシャ</t>
    </rPh>
    <rPh sb="18" eb="20">
      <t>ムライ</t>
    </rPh>
    <phoneticPr fontId="4"/>
  </si>
  <si>
    <t>2024/02/28版</t>
    <rPh sb="10" eb="11">
      <t>バン</t>
    </rPh>
    <phoneticPr fontId="4"/>
  </si>
  <si>
    <t>◆　85回　感門之盟（2024/03/15)</t>
    <rPh sb="4" eb="5">
      <t>カイ</t>
    </rPh>
    <rPh sb="6" eb="10">
      <t>カンモンノメイ</t>
    </rPh>
    <phoneticPr fontId="4"/>
  </si>
  <si>
    <t>●</t>
    <phoneticPr fontId="4"/>
  </si>
  <si>
    <t>★</t>
    <phoneticPr fontId="4"/>
  </si>
  <si>
    <t>シーン</t>
  </si>
  <si>
    <t>時間</t>
  </si>
  <si>
    <t>内容</t>
  </si>
  <si>
    <t>齋藤</t>
    <phoneticPr fontId="4"/>
  </si>
  <si>
    <t>村井</t>
    <rPh sb="0" eb="2">
      <t>ムライ</t>
    </rPh>
    <phoneticPr fontId="4"/>
  </si>
  <si>
    <t>高田</t>
    <rPh sb="0" eb="2">
      <t>タカダ</t>
    </rPh>
    <phoneticPr fontId="4"/>
  </si>
  <si>
    <t>吉井</t>
    <rPh sb="0" eb="2">
      <t>ヨシイ</t>
    </rPh>
    <phoneticPr fontId="4"/>
  </si>
  <si>
    <t>堀田</t>
    <rPh sb="0" eb="2">
      <t>ホッタ</t>
    </rPh>
    <phoneticPr fontId="4"/>
  </si>
  <si>
    <t>大濱</t>
    <rPh sb="0" eb="2">
      <t>オオハマ</t>
    </rPh>
    <phoneticPr fontId="4"/>
  </si>
  <si>
    <t>渋谷</t>
    <rPh sb="0" eb="2">
      <t>シブヤ</t>
    </rPh>
    <phoneticPr fontId="4"/>
  </si>
  <si>
    <t>古谷</t>
    <rPh sb="0" eb="2">
      <t>フルヤ</t>
    </rPh>
    <phoneticPr fontId="4"/>
  </si>
  <si>
    <t>新垣</t>
    <rPh sb="0" eb="2">
      <t>アラカキ</t>
    </rPh>
    <phoneticPr fontId="4"/>
  </si>
  <si>
    <t>森本</t>
    <rPh sb="0" eb="2">
      <t>モリモト</t>
    </rPh>
    <phoneticPr fontId="4"/>
  </si>
  <si>
    <t>岩野</t>
    <rPh sb="0" eb="2">
      <t>イワノ</t>
    </rPh>
    <phoneticPr fontId="4"/>
  </si>
  <si>
    <t>林</t>
    <rPh sb="0" eb="1">
      <t>ハヤシ</t>
    </rPh>
    <phoneticPr fontId="4"/>
  </si>
  <si>
    <t>平野</t>
    <rPh sb="0" eb="2">
      <t>ヒラノ</t>
    </rPh>
    <phoneticPr fontId="4"/>
  </si>
  <si>
    <t>山崎</t>
    <rPh sb="0" eb="2">
      <t>ヤマザキ</t>
    </rPh>
    <phoneticPr fontId="4"/>
  </si>
  <si>
    <t>福澤</t>
    <rPh sb="0" eb="2">
      <t>フクザワ</t>
    </rPh>
    <phoneticPr fontId="4"/>
  </si>
  <si>
    <t>紀平</t>
    <rPh sb="0" eb="2">
      <t>キヒラ</t>
    </rPh>
    <phoneticPr fontId="4"/>
  </si>
  <si>
    <t>若林</t>
    <rPh sb="0" eb="2">
      <t>ワカバヤシ</t>
    </rPh>
    <phoneticPr fontId="4"/>
  </si>
  <si>
    <t>稲垣</t>
    <rPh sb="0" eb="2">
      <t>イナガキ</t>
    </rPh>
    <phoneticPr fontId="4"/>
  </si>
  <si>
    <t>新井</t>
    <rPh sb="0" eb="2">
      <t>アライ</t>
    </rPh>
    <phoneticPr fontId="4"/>
  </si>
  <si>
    <t>対応可能時間</t>
    <rPh sb="0" eb="2">
      <t>タイオウ</t>
    </rPh>
    <rPh sb="2" eb="4">
      <t>カノウ</t>
    </rPh>
    <rPh sb="4" eb="6">
      <t>ジカン</t>
    </rPh>
    <phoneticPr fontId="4"/>
  </si>
  <si>
    <t>終日</t>
    <rPh sb="0" eb="2">
      <t>シュウジツ</t>
    </rPh>
    <phoneticPr fontId="4"/>
  </si>
  <si>
    <t>ロール</t>
    <phoneticPr fontId="4"/>
  </si>
  <si>
    <t>ﾏｲｸ・登降壇</t>
    <rPh sb="4" eb="7">
      <t>トウコウダン</t>
    </rPh>
    <phoneticPr fontId="4"/>
  </si>
  <si>
    <t>受付・本
軽食</t>
    <rPh sb="0" eb="2">
      <t>ウケツケ</t>
    </rPh>
    <rPh sb="3" eb="4">
      <t>ホン</t>
    </rPh>
    <rPh sb="5" eb="7">
      <t>ケイショク</t>
    </rPh>
    <phoneticPr fontId="4"/>
  </si>
  <si>
    <t>受付・本</t>
    <rPh sb="0" eb="2">
      <t>ウケツケ</t>
    </rPh>
    <rPh sb="3" eb="4">
      <t>ホン</t>
    </rPh>
    <phoneticPr fontId="4"/>
  </si>
  <si>
    <t>アフ感</t>
    <rPh sb="2" eb="3">
      <t>カン</t>
    </rPh>
    <phoneticPr fontId="4"/>
  </si>
  <si>
    <t>終了後
クローク</t>
    <rPh sb="0" eb="3">
      <t>シュウリョウゴ</t>
    </rPh>
    <phoneticPr fontId="4"/>
  </si>
  <si>
    <t>2F・軽食</t>
    <rPh sb="3" eb="5">
      <t>ケイショク</t>
    </rPh>
    <phoneticPr fontId="4"/>
  </si>
  <si>
    <t>　</t>
    <phoneticPr fontId="4"/>
  </si>
  <si>
    <t>開場後
クローク</t>
    <rPh sb="0" eb="3">
      <t>カイジョウゴ</t>
    </rPh>
    <phoneticPr fontId="4"/>
  </si>
  <si>
    <t>カウンター</t>
    <phoneticPr fontId="4"/>
  </si>
  <si>
    <t>裏方集合</t>
    <rPh sb="0" eb="2">
      <t>ウラカタ</t>
    </rPh>
    <rPh sb="2" eb="4">
      <t>シュウゴウ</t>
    </rPh>
    <phoneticPr fontId="4"/>
  </si>
  <si>
    <t>裏方MTG</t>
    <rPh sb="0" eb="1">
      <t>ウラ</t>
    </rPh>
    <rPh sb="1" eb="2">
      <t>ホウ</t>
    </rPh>
    <phoneticPr fontId="4"/>
  </si>
  <si>
    <t>○</t>
    <phoneticPr fontId="4"/>
  </si>
  <si>
    <t>表方集合</t>
    <rPh sb="0" eb="1">
      <t>オモテ</t>
    </rPh>
    <rPh sb="1" eb="2">
      <t>ホウ</t>
    </rPh>
    <rPh sb="2" eb="4">
      <t>シュウゴウ</t>
    </rPh>
    <phoneticPr fontId="4"/>
  </si>
  <si>
    <t>表方MTG</t>
    <rPh sb="0" eb="1">
      <t>オモテ</t>
    </rPh>
    <rPh sb="1" eb="2">
      <t>ホウ</t>
    </rPh>
    <phoneticPr fontId="4"/>
  </si>
  <si>
    <r>
      <t>掃除</t>
    </r>
    <r>
      <rPr>
        <b/>
        <sz val="11"/>
        <color indexed="10"/>
        <rFont val="ＭＳ Ｐゴシック"/>
        <family val="3"/>
        <charset val="128"/>
      </rPr>
      <t>　※全員</t>
    </r>
    <rPh sb="0" eb="2">
      <t>ソウジ</t>
    </rPh>
    <rPh sb="4" eb="6">
      <t>ゼンイン</t>
    </rPh>
    <phoneticPr fontId="4"/>
  </si>
  <si>
    <t>本楼、井寸房、階段廊下,トイレ、学林堂</t>
    <phoneticPr fontId="4"/>
  </si>
  <si>
    <t>廊下・トイレ
学林堂</t>
    <rPh sb="0" eb="2">
      <t>ロウカ</t>
    </rPh>
    <rPh sb="7" eb="10">
      <t>ガクリンドウ</t>
    </rPh>
    <phoneticPr fontId="4"/>
  </si>
  <si>
    <t>井寸房
本楼・階段</t>
    <rPh sb="0" eb="1">
      <t>イド</t>
    </rPh>
    <rPh sb="1" eb="2">
      <t>スンボウ</t>
    </rPh>
    <rPh sb="2" eb="3">
      <t>ｂｏｕ</t>
    </rPh>
    <rPh sb="4" eb="6">
      <t>ホンロウ</t>
    </rPh>
    <rPh sb="7" eb="9">
      <t>カイダン</t>
    </rPh>
    <phoneticPr fontId="4"/>
  </si>
  <si>
    <t>飲料周りカウンターセット</t>
    <rPh sb="0" eb="2">
      <t>インリョウ</t>
    </rPh>
    <rPh sb="2" eb="3">
      <t>マワ</t>
    </rPh>
    <phoneticPr fontId="4"/>
  </si>
  <si>
    <t>シュガー、ミルク、カップ、コーヒー、お茶、ジュース</t>
    <rPh sb="19" eb="20">
      <t>チャ</t>
    </rPh>
    <phoneticPr fontId="4"/>
  </si>
  <si>
    <t>2Fセット</t>
    <phoneticPr fontId="4"/>
  </si>
  <si>
    <t>カウンタ周り</t>
    <rPh sb="4" eb="5">
      <t>マワ</t>
    </rPh>
    <phoneticPr fontId="4"/>
  </si>
  <si>
    <t>ゴミ箱セット（１Ｆ２Ｆ）</t>
    <phoneticPr fontId="4"/>
  </si>
  <si>
    <t>本楼２ヶ所と学林堂</t>
    <rPh sb="4" eb="5">
      <t>ショ</t>
    </rPh>
    <rPh sb="6" eb="7">
      <t>ガク</t>
    </rPh>
    <rPh sb="7" eb="8">
      <t>ハヤシ</t>
    </rPh>
    <rPh sb="8" eb="9">
      <t>ドウ</t>
    </rPh>
    <phoneticPr fontId="4"/>
  </si>
  <si>
    <t>名札セット</t>
    <rPh sb="0" eb="2">
      <t>ナフダ</t>
    </rPh>
    <phoneticPr fontId="4"/>
  </si>
  <si>
    <t>本棚劇場、学林堂</t>
    <rPh sb="0" eb="4">
      <t>ホンダナゲキジョウ</t>
    </rPh>
    <rPh sb="5" eb="7">
      <t>ガクリン</t>
    </rPh>
    <rPh sb="7" eb="8">
      <t>ドウ</t>
    </rPh>
    <phoneticPr fontId="4"/>
  </si>
  <si>
    <t>2F名札</t>
    <rPh sb="2" eb="4">
      <t>ナフダ</t>
    </rPh>
    <phoneticPr fontId="4"/>
  </si>
  <si>
    <t>1F名札</t>
    <rPh sb="2" eb="4">
      <t>ナフダ</t>
    </rPh>
    <phoneticPr fontId="4"/>
  </si>
  <si>
    <t>ペット、タブロイドセット</t>
    <phoneticPr fontId="4"/>
  </si>
  <si>
    <t>水と資料は、全ての座席に配置</t>
    <rPh sb="0" eb="1">
      <t>ミズ</t>
    </rPh>
    <rPh sb="2" eb="4">
      <t>シリョウ</t>
    </rPh>
    <rPh sb="6" eb="7">
      <t>スベ</t>
    </rPh>
    <rPh sb="9" eb="11">
      <t>ザセキ</t>
    </rPh>
    <rPh sb="12" eb="14">
      <t>ハイチ</t>
    </rPh>
    <phoneticPr fontId="4"/>
  </si>
  <si>
    <t>2F座席
準備</t>
    <rPh sb="2" eb="4">
      <t>ザセキ</t>
    </rPh>
    <rPh sb="5" eb="7">
      <t>ジュンビ</t>
    </rPh>
    <phoneticPr fontId="4"/>
  </si>
  <si>
    <t>本楼
座席準備</t>
    <rPh sb="0" eb="2">
      <t>ホンロウ</t>
    </rPh>
    <rPh sb="3" eb="5">
      <t>ザセキ</t>
    </rPh>
    <rPh sb="5" eb="7">
      <t>ジュンビ</t>
    </rPh>
    <phoneticPr fontId="4"/>
  </si>
  <si>
    <t>受付準備</t>
    <rPh sb="0" eb="2">
      <t>ウケツケ</t>
    </rPh>
    <rPh sb="2" eb="4">
      <t>ジュンビ</t>
    </rPh>
    <phoneticPr fontId="4"/>
  </si>
  <si>
    <t>名簿、お釣り、電卓、ボールペン（２色）、領収書</t>
    <rPh sb="0" eb="2">
      <t>メイボ</t>
    </rPh>
    <rPh sb="4" eb="5">
      <t>ツ</t>
    </rPh>
    <rPh sb="7" eb="9">
      <t>デンタク</t>
    </rPh>
    <rPh sb="17" eb="18">
      <t>ショク</t>
    </rPh>
    <rPh sb="20" eb="23">
      <t>リョウシュウショ</t>
    </rPh>
    <phoneticPr fontId="4"/>
  </si>
  <si>
    <t>2F受付
準備</t>
    <rPh sb="2" eb="4">
      <t>ウケツケ</t>
    </rPh>
    <rPh sb="5" eb="7">
      <t>ジュンビ</t>
    </rPh>
    <phoneticPr fontId="4"/>
  </si>
  <si>
    <t>★1F　　　　座席確認</t>
    <rPh sb="7" eb="11">
      <t>ザセキカクニン</t>
    </rPh>
    <phoneticPr fontId="4"/>
  </si>
  <si>
    <t>★1F
クローク
準備</t>
    <rPh sb="9" eb="11">
      <t>ジュンビ</t>
    </rPh>
    <phoneticPr fontId="4"/>
  </si>
  <si>
    <t>井寸房
受付準備</t>
    <rPh sb="0" eb="3">
      <t>イスンボウ</t>
    </rPh>
    <rPh sb="4" eb="6">
      <t>ウケツケ</t>
    </rPh>
    <rPh sb="6" eb="8">
      <t>ジュンビ</t>
    </rPh>
    <phoneticPr fontId="4"/>
  </si>
  <si>
    <t>11:30</t>
    <phoneticPr fontId="4"/>
  </si>
  <si>
    <t>45min</t>
  </si>
  <si>
    <t>スタッフ昼食</t>
    <rPh sb="4" eb="6">
      <t>チュウショク</t>
    </rPh>
    <phoneticPr fontId="4"/>
  </si>
  <si>
    <t>順次スタッフ昼食</t>
    <rPh sb="0" eb="2">
      <t>ジュンジ</t>
    </rPh>
    <rPh sb="6" eb="8">
      <t>チュウショク</t>
    </rPh>
    <phoneticPr fontId="4"/>
  </si>
  <si>
    <t>昼食</t>
    <rPh sb="0" eb="2">
      <t>チュウショク</t>
    </rPh>
    <phoneticPr fontId="4"/>
  </si>
  <si>
    <t>0</t>
    <phoneticPr fontId="4"/>
  </si>
  <si>
    <t>◯受付開始</t>
    <phoneticPr fontId="4"/>
  </si>
  <si>
    <t>受付、名札、クローク、本楼・学林堂誘導、本回収</t>
    <rPh sb="0" eb="2">
      <t>ウケツケ</t>
    </rPh>
    <rPh sb="3" eb="5">
      <t>ナフダ</t>
    </rPh>
    <rPh sb="11" eb="12">
      <t>ホン</t>
    </rPh>
    <rPh sb="12" eb="13">
      <t>ロウ</t>
    </rPh>
    <rPh sb="14" eb="15">
      <t>ガク</t>
    </rPh>
    <rPh sb="15" eb="16">
      <t>リン</t>
    </rPh>
    <rPh sb="16" eb="17">
      <t>ドウ</t>
    </rPh>
    <rPh sb="17" eb="19">
      <t>ユウドウ</t>
    </rPh>
    <rPh sb="20" eb="23">
      <t>ホンカイシュウ</t>
    </rPh>
    <phoneticPr fontId="4"/>
  </si>
  <si>
    <t>1F・2F
遊軍</t>
    <rPh sb="6" eb="8">
      <t>ユウグン</t>
    </rPh>
    <phoneticPr fontId="4"/>
  </si>
  <si>
    <t>2F受付
本回収</t>
    <rPh sb="2" eb="4">
      <t>ウケツケ</t>
    </rPh>
    <rPh sb="5" eb="8">
      <t>ホンカイシュウ</t>
    </rPh>
    <phoneticPr fontId="4"/>
  </si>
  <si>
    <t>2F遊軍</t>
    <rPh sb="2" eb="4">
      <t>ユウグン</t>
    </rPh>
    <phoneticPr fontId="4"/>
  </si>
  <si>
    <t>井寸房・
本楼
遊軍</t>
    <rPh sb="0" eb="1">
      <t>イ</t>
    </rPh>
    <rPh sb="1" eb="3">
      <t>スンボウ</t>
    </rPh>
    <rPh sb="5" eb="7">
      <t>ホンロウ</t>
    </rPh>
    <rPh sb="8" eb="10">
      <t>ユウグン</t>
    </rPh>
    <phoneticPr fontId="4"/>
  </si>
  <si>
    <t>1F名札/
本楼誘導</t>
    <rPh sb="2" eb="4">
      <t>ナフダ</t>
    </rPh>
    <rPh sb="6" eb="10">
      <t>ホンロウユウドウ</t>
    </rPh>
    <phoneticPr fontId="4"/>
  </si>
  <si>
    <t>井寸房     受付</t>
    <rPh sb="0" eb="1">
      <t>イド</t>
    </rPh>
    <rPh sb="1" eb="2">
      <t>イッスン</t>
    </rPh>
    <rPh sb="2" eb="3">
      <t>ボウ</t>
    </rPh>
    <rPh sb="8" eb="10">
      <t>ウケツケ</t>
    </rPh>
    <phoneticPr fontId="4"/>
  </si>
  <si>
    <t>受付時希望人数：　井寸房＝受付2名＋遊軍1名　本楼＝名札・誘導2名・クローク1名
学林堂＝受付（本の受付）2名＋遊軍1名・名札1名</t>
    <phoneticPr fontId="4"/>
  </si>
  <si>
    <t>1</t>
    <phoneticPr fontId="4"/>
  </si>
  <si>
    <t>オープニング</t>
    <phoneticPr fontId="4"/>
  </si>
  <si>
    <t>カウンタ受付</t>
    <rPh sb="4" eb="6">
      <t>ウケツケ</t>
    </rPh>
    <phoneticPr fontId="4"/>
  </si>
  <si>
    <t>スタンド
マイク</t>
    <phoneticPr fontId="4"/>
  </si>
  <si>
    <t>登降壇</t>
    <rPh sb="0" eb="3">
      <t>トウコウダン</t>
    </rPh>
    <phoneticPr fontId="4"/>
  </si>
  <si>
    <t>本回収・セッティング</t>
    <rPh sb="0" eb="3">
      <t>ホンカイシュウ</t>
    </rPh>
    <phoneticPr fontId="4"/>
  </si>
  <si>
    <t>カウンタ
受付・遊軍</t>
    <rPh sb="5" eb="7">
      <t>ウケツケ</t>
    </rPh>
    <rPh sb="8" eb="10">
      <t>ユウグン</t>
    </rPh>
    <phoneticPr fontId="4"/>
  </si>
  <si>
    <t>カウンタ
受付</t>
    <rPh sb="5" eb="7">
      <t>ウケツケ</t>
    </rPh>
    <phoneticPr fontId="4"/>
  </si>
  <si>
    <t>開始後、井寸房ないし本楼カウンターに受付に2名希望　2F学林堂は1名希望</t>
    <rPh sb="0" eb="3">
      <t>カイシゴ</t>
    </rPh>
    <rPh sb="4" eb="5">
      <t>イ</t>
    </rPh>
    <rPh sb="5" eb="6">
      <t>スン</t>
    </rPh>
    <rPh sb="6" eb="7">
      <t>ボウ</t>
    </rPh>
    <rPh sb="10" eb="12">
      <t>ホンロウ</t>
    </rPh>
    <rPh sb="18" eb="20">
      <t>ウケツケ</t>
    </rPh>
    <rPh sb="22" eb="23">
      <t>メイ</t>
    </rPh>
    <rPh sb="23" eb="25">
      <t>キボウ</t>
    </rPh>
    <rPh sb="28" eb="30">
      <t>ガクリン</t>
    </rPh>
    <rPh sb="30" eb="31">
      <t>ドウ</t>
    </rPh>
    <rPh sb="33" eb="34">
      <t>メイ</t>
    </rPh>
    <rPh sb="34" eb="36">
      <t>キボウ</t>
    </rPh>
    <phoneticPr fontId="4"/>
  </si>
  <si>
    <t>2</t>
    <phoneticPr fontId="4"/>
  </si>
  <si>
    <t>冒頭　司会メッセージ</t>
    <phoneticPr fontId="4"/>
  </si>
  <si>
    <t>3</t>
    <phoneticPr fontId="4"/>
  </si>
  <si>
    <t>学長メッセージ</t>
    <phoneticPr fontId="4"/>
  </si>
  <si>
    <t>54守「卒門式」</t>
    <phoneticPr fontId="4"/>
  </si>
  <si>
    <t>学匠メッセージ</t>
    <phoneticPr fontId="4"/>
  </si>
  <si>
    <t>「感門表&amp;先達文庫 授与」</t>
    <phoneticPr fontId="4"/>
  </si>
  <si>
    <t>●確認：登降壇のサポート（登壇促し・マイク調整）で何名必要（各1～2名）？</t>
    <rPh sb="1" eb="3">
      <t>カクニン</t>
    </rPh>
    <rPh sb="4" eb="7">
      <t>トウコウダン</t>
    </rPh>
    <rPh sb="13" eb="16">
      <t>トウダンウナガ</t>
    </rPh>
    <rPh sb="21" eb="23">
      <t>チョウセイ</t>
    </rPh>
    <rPh sb="25" eb="29">
      <t>ナンメイヒツヨウ</t>
    </rPh>
    <rPh sb="30" eb="31">
      <t>カク</t>
    </rPh>
    <rPh sb="34" eb="35">
      <t>メイ</t>
    </rPh>
    <phoneticPr fontId="4"/>
  </si>
  <si>
    <t>師範代メッセージ</t>
    <phoneticPr fontId="4"/>
  </si>
  <si>
    <t>「師範頌」</t>
    <phoneticPr fontId="4"/>
  </si>
  <si>
    <t>本交換準備</t>
    <rPh sb="3" eb="5">
      <t>ジュンビ</t>
    </rPh>
    <phoneticPr fontId="4"/>
  </si>
  <si>
    <t>本交換準備</t>
    <rPh sb="0" eb="5">
      <t>ホンコウカンジュンビ</t>
    </rPh>
    <phoneticPr fontId="4"/>
  </si>
  <si>
    <t>軽食準備（学林堂）</t>
    <rPh sb="0" eb="2">
      <t>ケイショク</t>
    </rPh>
    <rPh sb="2" eb="4">
      <t>ジュンビ</t>
    </rPh>
    <rPh sb="5" eb="7">
      <t>ガクリンドウ</t>
    </rPh>
    <rPh sb="7" eb="8">
      <t>ドウ</t>
    </rPh>
    <phoneticPr fontId="4"/>
  </si>
  <si>
    <t>登壇</t>
    <rPh sb="0" eb="2">
      <t>トウダン</t>
    </rPh>
    <phoneticPr fontId="4"/>
  </si>
  <si>
    <t>軽食準備</t>
    <rPh sb="0" eb="2">
      <t>ケイショク</t>
    </rPh>
    <rPh sb="2" eb="4">
      <t>ジュンビ</t>
    </rPh>
    <phoneticPr fontId="4"/>
  </si>
  <si>
    <t>●お菓子の準備</t>
    <rPh sb="2" eb="4">
      <t>カシ</t>
    </rPh>
    <rPh sb="5" eb="7">
      <t>ジュンビ</t>
    </rPh>
    <phoneticPr fontId="4"/>
  </si>
  <si>
    <t>54守卒門式：締め</t>
    <phoneticPr fontId="4"/>
  </si>
  <si>
    <t>おやつ説明登壇</t>
    <rPh sb="3" eb="5">
      <t>セツメイ</t>
    </rPh>
    <rPh sb="5" eb="7">
      <t>トウダン</t>
    </rPh>
    <phoneticPr fontId="4"/>
  </si>
  <si>
    <t>休憩</t>
    <phoneticPr fontId="4"/>
  </si>
  <si>
    <t>席移動準備・誘導</t>
    <rPh sb="0" eb="5">
      <t>セキイドウジュンビ</t>
    </rPh>
    <rPh sb="6" eb="8">
      <t>ユウドウ</t>
    </rPh>
    <phoneticPr fontId="4"/>
  </si>
  <si>
    <t>ベル</t>
    <phoneticPr fontId="4"/>
  </si>
  <si>
    <t>本交換</t>
  </si>
  <si>
    <t>本交換
遊軍</t>
    <rPh sb="4" eb="6">
      <t>ユウグン</t>
    </rPh>
    <phoneticPr fontId="4"/>
  </si>
  <si>
    <t>軽食
配布回収（本楼）</t>
    <rPh sb="0" eb="2">
      <t>ケイショク</t>
    </rPh>
    <rPh sb="3" eb="5">
      <t>ハイフ</t>
    </rPh>
    <rPh sb="5" eb="7">
      <t>カイシュウ</t>
    </rPh>
    <rPh sb="8" eb="10">
      <t>ホンロウ</t>
    </rPh>
    <phoneticPr fontId="4"/>
  </si>
  <si>
    <t>●本楼もカウンターでの飲食提供を基本に、お盆の準備して師範・師範代に（教室分など）運んでもらえるようにする。
カウンター2名＋1名。ゴミ回収は師範で率先して行う。　学林堂もゴミ回収など各師範が率先して行う
カウンター　稲垣・新井＋若林</t>
    <rPh sb="1" eb="2">
      <t>ホン</t>
    </rPh>
    <rPh sb="2" eb="3">
      <t>ロウ</t>
    </rPh>
    <rPh sb="11" eb="13">
      <t>インショク</t>
    </rPh>
    <rPh sb="13" eb="15">
      <t>テイキョウ</t>
    </rPh>
    <rPh sb="16" eb="18">
      <t>キホン</t>
    </rPh>
    <rPh sb="21" eb="22">
      <t>ボン</t>
    </rPh>
    <rPh sb="23" eb="25">
      <t>ジュンビ</t>
    </rPh>
    <rPh sb="27" eb="29">
      <t>シハン</t>
    </rPh>
    <rPh sb="30" eb="33">
      <t>シハンダイ</t>
    </rPh>
    <rPh sb="35" eb="38">
      <t>キョウシツブン</t>
    </rPh>
    <rPh sb="41" eb="42">
      <t>ハコ</t>
    </rPh>
    <rPh sb="61" eb="62">
      <t>メイ</t>
    </rPh>
    <rPh sb="64" eb="65">
      <t>メイ</t>
    </rPh>
    <rPh sb="68" eb="70">
      <t>カイシュウ</t>
    </rPh>
    <rPh sb="71" eb="73">
      <t>シハン</t>
    </rPh>
    <rPh sb="78" eb="79">
      <t>オコナ</t>
    </rPh>
    <rPh sb="82" eb="85">
      <t>ガクリンドウ</t>
    </rPh>
    <rPh sb="88" eb="90">
      <t>カイシュウ</t>
    </rPh>
    <rPh sb="92" eb="95">
      <t>カクシハン</t>
    </rPh>
    <rPh sb="96" eb="98">
      <t>ソッセン</t>
    </rPh>
    <rPh sb="109" eb="111">
      <t>イナガキ</t>
    </rPh>
    <rPh sb="112" eb="114">
      <t>アライ</t>
    </rPh>
    <rPh sb="115" eb="117">
      <t>ワカバヤシ</t>
    </rPh>
    <phoneticPr fontId="4"/>
  </si>
  <si>
    <t>「学衆讃証」</t>
    <phoneticPr fontId="4"/>
  </si>
  <si>
    <t>●学衆讃証の誘導は守師範・師範代で誘導。　　
場所をどうする？　本楼・井寸房・２F事務所・３Ｆも使えるか？　学林堂は花伝（インターブッキング）　</t>
    <rPh sb="1" eb="3">
      <t>ガクシュウ</t>
    </rPh>
    <rPh sb="6" eb="8">
      <t>ユウドウ</t>
    </rPh>
    <rPh sb="9" eb="10">
      <t>シュ</t>
    </rPh>
    <rPh sb="10" eb="12">
      <t>シハン</t>
    </rPh>
    <rPh sb="13" eb="16">
      <t>シハンダイ</t>
    </rPh>
    <rPh sb="17" eb="19">
      <t>ユウドウ</t>
    </rPh>
    <rPh sb="23" eb="25">
      <t>バショ</t>
    </rPh>
    <rPh sb="32" eb="34">
      <t>ホンロウ</t>
    </rPh>
    <rPh sb="35" eb="36">
      <t>イ</t>
    </rPh>
    <rPh sb="36" eb="37">
      <t>スン</t>
    </rPh>
    <rPh sb="37" eb="38">
      <t>ボウ</t>
    </rPh>
    <rPh sb="41" eb="43">
      <t>ジム</t>
    </rPh>
    <rPh sb="43" eb="44">
      <t>ショ</t>
    </rPh>
    <rPh sb="48" eb="49">
      <t>ツカ</t>
    </rPh>
    <rPh sb="54" eb="56">
      <t>ガクリン</t>
    </rPh>
    <rPh sb="56" eb="57">
      <t>ドウ</t>
    </rPh>
    <rPh sb="58" eb="60">
      <t>カデン</t>
    </rPh>
    <phoneticPr fontId="4"/>
  </si>
  <si>
    <t>会場整備</t>
    <phoneticPr fontId="4"/>
  </si>
  <si>
    <t>本楼整備
レイアウト
など？</t>
    <rPh sb="0" eb="4">
      <t>ホンロウセイビ</t>
    </rPh>
    <phoneticPr fontId="4"/>
  </si>
  <si>
    <t>●確認：会場整備・セッティング変更に何人必要？</t>
    <rPh sb="1" eb="3">
      <t>カクニン</t>
    </rPh>
    <rPh sb="4" eb="6">
      <t>カイジョウ</t>
    </rPh>
    <rPh sb="6" eb="8">
      <t>セイビ</t>
    </rPh>
    <rPh sb="15" eb="17">
      <t>ヘンコウ</t>
    </rPh>
    <rPh sb="18" eb="22">
      <t>ナンニンヒツヨウ</t>
    </rPh>
    <phoneticPr fontId="4"/>
  </si>
  <si>
    <t>54破教室名発表！</t>
    <phoneticPr fontId="4"/>
  </si>
  <si>
    <t>●確認：登降壇のサポート（登壇促し・マイク調整）で何名必要（各1名＋１）？</t>
    <rPh sb="1" eb="3">
      <t>カクニン</t>
    </rPh>
    <rPh sb="4" eb="7">
      <t>トウコウダン</t>
    </rPh>
    <rPh sb="13" eb="16">
      <t>トウダンウナガ</t>
    </rPh>
    <rPh sb="21" eb="23">
      <t>チョウセイ</t>
    </rPh>
    <rPh sb="25" eb="29">
      <t>ナンメイヒツヨウ</t>
    </rPh>
    <rPh sb="30" eb="31">
      <t>カク</t>
    </rPh>
    <rPh sb="32" eb="33">
      <t>メイ</t>
    </rPh>
    <phoneticPr fontId="4"/>
  </si>
  <si>
    <t>出世魚教室名発表</t>
    <phoneticPr fontId="4"/>
  </si>
  <si>
    <t>破エール</t>
    <phoneticPr fontId="4"/>
  </si>
  <si>
    <t>54破教室名発表：締め</t>
    <phoneticPr fontId="4"/>
  </si>
  <si>
    <t>ここまで、本楼は花師範陣中心にサポート</t>
    <rPh sb="5" eb="7">
      <t>ホンロウ</t>
    </rPh>
    <rPh sb="8" eb="14">
      <t>ハナシハンジンチュウシン</t>
    </rPh>
    <phoneticPr fontId="4"/>
  </si>
  <si>
    <t>42花放伝式</t>
    <phoneticPr fontId="4"/>
  </si>
  <si>
    <t>ここから、本楼は守師範陣中心にサポート</t>
    <rPh sb="5" eb="7">
      <t>ホンロウ</t>
    </rPh>
    <rPh sb="8" eb="9">
      <t>シュ</t>
    </rPh>
    <rPh sb="9" eb="14">
      <t>シハンジンチュウシン</t>
    </rPh>
    <phoneticPr fontId="4"/>
  </si>
  <si>
    <t>所長メッセージ</t>
    <phoneticPr fontId="4"/>
  </si>
  <si>
    <t>●確認：登降壇のサポート（登壇促し・マイク調整）で何名必要（各1名）？</t>
    <rPh sb="1" eb="3">
      <t>カクニン</t>
    </rPh>
    <rPh sb="4" eb="7">
      <t>トウコウダン</t>
    </rPh>
    <rPh sb="13" eb="16">
      <t>トウダンウナガ</t>
    </rPh>
    <rPh sb="21" eb="23">
      <t>チョウセイ</t>
    </rPh>
    <rPh sb="25" eb="29">
      <t>ナンメイヒツヨウ</t>
    </rPh>
    <rPh sb="30" eb="31">
      <t>カク</t>
    </rPh>
    <rPh sb="32" eb="33">
      <t>メイ</t>
    </rPh>
    <phoneticPr fontId="4"/>
  </si>
  <si>
    <t>「花伝扇」授与</t>
    <phoneticPr fontId="4"/>
  </si>
  <si>
    <t>「花伝選書授与」</t>
    <phoneticPr fontId="4"/>
  </si>
  <si>
    <t>42花放伝式：締め</t>
    <phoneticPr fontId="4"/>
  </si>
  <si>
    <t>55守冠界式</t>
    <phoneticPr fontId="4"/>
  </si>
  <si>
    <t>司会</t>
    <rPh sb="0" eb="2">
      <t>シカイ</t>
    </rPh>
    <phoneticPr fontId="4"/>
  </si>
  <si>
    <t>教室名発表</t>
    <phoneticPr fontId="4"/>
  </si>
  <si>
    <t>代表者メッセージ</t>
    <phoneticPr fontId="4"/>
  </si>
  <si>
    <t>教室名発表：締め</t>
    <phoneticPr fontId="4"/>
  </si>
  <si>
    <r>
      <rPr>
        <sz val="10"/>
        <rFont val="ＭＳ Ｐゴシック"/>
        <family val="3"/>
        <charset val="128"/>
      </rPr>
      <t xml:space="preserve">席移動準備・誘導
</t>
    </r>
    <r>
      <rPr>
        <b/>
        <sz val="10"/>
        <color rgb="FFFF0000"/>
        <rFont val="ＭＳ Ｐゴシック"/>
        <family val="3"/>
        <charset val="128"/>
      </rPr>
      <t>ベル</t>
    </r>
    <phoneticPr fontId="4"/>
  </si>
  <si>
    <t>配布回収（学林堂）</t>
    <rPh sb="0" eb="2">
      <t>ハイフ</t>
    </rPh>
    <rPh sb="2" eb="4">
      <t>カイシュウ</t>
    </rPh>
    <rPh sb="5" eb="8">
      <t>ガクリンドウ</t>
    </rPh>
    <phoneticPr fontId="4"/>
  </si>
  <si>
    <t>配布回収（本楼）</t>
    <rPh sb="0" eb="2">
      <t>ハイフ</t>
    </rPh>
    <rPh sb="2" eb="4">
      <t>カイシュウ</t>
    </rPh>
    <rPh sb="5" eb="7">
      <t>ホンロウ</t>
    </rPh>
    <phoneticPr fontId="4"/>
  </si>
  <si>
    <t>学長トークセッション</t>
    <phoneticPr fontId="4"/>
  </si>
  <si>
    <t>トークセッションOP</t>
    <phoneticPr fontId="4"/>
  </si>
  <si>
    <t>「学長に聞く／学長が聞く」</t>
    <phoneticPr fontId="4"/>
  </si>
  <si>
    <t>会場マイク回し</t>
    <rPh sb="0" eb="2">
      <t>カイジョウ</t>
    </rPh>
    <rPh sb="5" eb="6">
      <t>マワ</t>
    </rPh>
    <phoneticPr fontId="4"/>
  </si>
  <si>
    <t>林頭メッセージ</t>
    <phoneticPr fontId="4"/>
  </si>
  <si>
    <t>感門之盟　1日の締め</t>
    <phoneticPr fontId="4"/>
  </si>
  <si>
    <t>記念撮影</t>
    <phoneticPr fontId="4"/>
  </si>
  <si>
    <t>終了</t>
    <phoneticPr fontId="4"/>
  </si>
  <si>
    <t>撤収作業</t>
    <rPh sb="0" eb="4">
      <t>テッシュウサギョウ</t>
    </rPh>
    <phoneticPr fontId="4"/>
  </si>
  <si>
    <t>アフ感案内
撤収作業
アフ感
先発隊</t>
    <rPh sb="2" eb="5">
      <t>カンアンナイ</t>
    </rPh>
    <rPh sb="7" eb="11">
      <t>テッシュウサギョウ</t>
    </rPh>
    <rPh sb="14" eb="15">
      <t>カン</t>
    </rPh>
    <rPh sb="16" eb="19">
      <t>センパツタイ</t>
    </rPh>
    <rPh sb="18" eb="19">
      <t>タイ</t>
    </rPh>
    <phoneticPr fontId="4"/>
  </si>
  <si>
    <t>クローク</t>
    <phoneticPr fontId="4"/>
  </si>
  <si>
    <t>アフ感案内
先発隊？</t>
    <rPh sb="2" eb="5">
      <t>カンアンナイ</t>
    </rPh>
    <rPh sb="6" eb="9">
      <t>センパツタイ</t>
    </rPh>
    <phoneticPr fontId="4"/>
  </si>
  <si>
    <t>クローク2名は必須。アフ感への誘導は各師範・師範代で対応。
アフ感対応師範は先行してアフ感会場へ移動。（守花それぞれ２～3名）
●確認：本楼・学林堂の撤収は各師範が手伝いつつでOK?（花のメンバーでなるべくやる）
●確認：アフ感先発隊のメンバーを知りたい（守・花）
●終了後、名札は回収しない（回収はアフ感で・師範が回収し、追って編工研に返す）</t>
    <rPh sb="5" eb="6">
      <t>メイ</t>
    </rPh>
    <rPh sb="7" eb="9">
      <t>ヒッス</t>
    </rPh>
    <rPh sb="12" eb="13">
      <t>カン</t>
    </rPh>
    <rPh sb="15" eb="17">
      <t>ユウドウ</t>
    </rPh>
    <rPh sb="18" eb="21">
      <t>カクシハン</t>
    </rPh>
    <rPh sb="22" eb="25">
      <t>シハンダイ</t>
    </rPh>
    <rPh sb="26" eb="28">
      <t>タイオウ</t>
    </rPh>
    <rPh sb="32" eb="37">
      <t>カンタイオウシハン</t>
    </rPh>
    <rPh sb="38" eb="40">
      <t>センコウ</t>
    </rPh>
    <rPh sb="44" eb="47">
      <t>カンカイジョウ</t>
    </rPh>
    <rPh sb="48" eb="50">
      <t>イドウ</t>
    </rPh>
    <rPh sb="52" eb="53">
      <t>シュ</t>
    </rPh>
    <rPh sb="53" eb="54">
      <t>ハナ</t>
    </rPh>
    <rPh sb="61" eb="62">
      <t>メイ</t>
    </rPh>
    <rPh sb="65" eb="67">
      <t>カクニン</t>
    </rPh>
    <rPh sb="68" eb="69">
      <t>ホン</t>
    </rPh>
    <rPh sb="69" eb="70">
      <t>ロウ</t>
    </rPh>
    <rPh sb="71" eb="73">
      <t>ガクリン</t>
    </rPh>
    <rPh sb="73" eb="74">
      <t>ドウ</t>
    </rPh>
    <rPh sb="75" eb="77">
      <t>テッシュウ</t>
    </rPh>
    <rPh sb="78" eb="79">
      <t>カク</t>
    </rPh>
    <rPh sb="79" eb="81">
      <t>シハン</t>
    </rPh>
    <rPh sb="82" eb="84">
      <t>テツダ</t>
    </rPh>
    <rPh sb="92" eb="93">
      <t>ハナ</t>
    </rPh>
    <rPh sb="108" eb="110">
      <t>カクニン</t>
    </rPh>
    <rPh sb="113" eb="114">
      <t>カン</t>
    </rPh>
    <rPh sb="114" eb="117">
      <t>センパツタイ</t>
    </rPh>
    <rPh sb="123" eb="124">
      <t>シ</t>
    </rPh>
    <rPh sb="128" eb="129">
      <t>シュ</t>
    </rPh>
    <rPh sb="130" eb="131">
      <t>ハナ</t>
    </rPh>
    <rPh sb="134" eb="137">
      <t>シュウリョウゴ</t>
    </rPh>
    <rPh sb="138" eb="140">
      <t>ナフダ</t>
    </rPh>
    <rPh sb="141" eb="143">
      <t>カイシュウ</t>
    </rPh>
    <phoneticPr fontId="4"/>
  </si>
  <si>
    <t>ha</t>
    <phoneticPr fontId="4"/>
  </si>
  <si>
    <t>稼働時間／各ロール確認表　（作成者：小萩）</t>
    <rPh sb="5" eb="6">
      <t>カク</t>
    </rPh>
    <rPh sb="9" eb="11">
      <t>カクニン</t>
    </rPh>
    <rPh sb="11" eb="12">
      <t>ヒョウ</t>
    </rPh>
    <rPh sb="14" eb="17">
      <t>サクセイシャ</t>
    </rPh>
    <rPh sb="18" eb="20">
      <t>コハギ</t>
    </rPh>
    <phoneticPr fontId="4"/>
  </si>
  <si>
    <t>2018/08/29 版</t>
    <phoneticPr fontId="4"/>
  </si>
  <si>
    <t>◆　66回　感門之盟（2018/09/01)</t>
    <rPh sb="4" eb="5">
      <t>カイ</t>
    </rPh>
    <rPh sb="6" eb="10">
      <t>カンモンノメイ</t>
    </rPh>
    <phoneticPr fontId="4"/>
  </si>
  <si>
    <t>寺平</t>
    <rPh sb="0" eb="2">
      <t>テラダイラ</t>
    </rPh>
    <phoneticPr fontId="4"/>
  </si>
  <si>
    <t>八田</t>
    <rPh sb="0" eb="2">
      <t>ハッタ</t>
    </rPh>
    <phoneticPr fontId="4"/>
  </si>
  <si>
    <t>石川な</t>
    <rPh sb="0" eb="2">
      <t>イシカワ</t>
    </rPh>
    <phoneticPr fontId="4"/>
  </si>
  <si>
    <t>衣笠</t>
    <rPh sb="0" eb="2">
      <t>キヌガサ</t>
    </rPh>
    <phoneticPr fontId="4"/>
  </si>
  <si>
    <t>齋藤</t>
    <rPh sb="0" eb="2">
      <t>ｓａｉｔｏｕ</t>
    </rPh>
    <phoneticPr fontId="4"/>
  </si>
  <si>
    <t>小萩</t>
    <rPh sb="0" eb="2">
      <t>コハギ</t>
    </rPh>
    <phoneticPr fontId="4"/>
  </si>
  <si>
    <t>植田</t>
    <rPh sb="0" eb="2">
      <t>ウエダ</t>
    </rPh>
    <phoneticPr fontId="4"/>
  </si>
  <si>
    <t>原田</t>
    <rPh sb="0" eb="2">
      <t>ハラダ</t>
    </rPh>
    <phoneticPr fontId="4"/>
  </si>
  <si>
    <t>福田</t>
    <rPh sb="0" eb="2">
      <t>フクダ</t>
    </rPh>
    <phoneticPr fontId="4"/>
  </si>
  <si>
    <t>宗</t>
    <rPh sb="0" eb="1">
      <t>ソウ</t>
    </rPh>
    <phoneticPr fontId="4"/>
  </si>
  <si>
    <t>豊田</t>
    <rPh sb="0" eb="2">
      <t>トヨダ</t>
    </rPh>
    <phoneticPr fontId="4"/>
  </si>
  <si>
    <t>政近</t>
    <rPh sb="0" eb="2">
      <t>マサチカ</t>
    </rPh>
    <phoneticPr fontId="4"/>
  </si>
  <si>
    <t>川崎</t>
    <rPh sb="0" eb="2">
      <t>カワサキ</t>
    </rPh>
    <phoneticPr fontId="4"/>
  </si>
  <si>
    <t>田中</t>
    <rPh sb="0" eb="2">
      <t>タナカ</t>
    </rPh>
    <phoneticPr fontId="4"/>
  </si>
  <si>
    <t>〜18:00</t>
    <phoneticPr fontId="4"/>
  </si>
  <si>
    <t>午後〜</t>
    <rPh sb="0" eb="2">
      <t>ゴゴ</t>
    </rPh>
    <phoneticPr fontId="4"/>
  </si>
  <si>
    <t>17:00〜</t>
    <phoneticPr fontId="4"/>
  </si>
  <si>
    <t>ライブ　  　カメラ</t>
    <phoneticPr fontId="4"/>
  </si>
  <si>
    <t>意表連
TK</t>
    <rPh sb="0" eb="2">
      <t>イヒョウ</t>
    </rPh>
    <rPh sb="2" eb="3">
      <t>レン</t>
    </rPh>
    <phoneticPr fontId="4"/>
  </si>
  <si>
    <t>意表連
ﾏｲｸ、照明</t>
    <rPh sb="0" eb="2">
      <t>イヒョウ</t>
    </rPh>
    <rPh sb="2" eb="3">
      <t>レン</t>
    </rPh>
    <rPh sb="8" eb="10">
      <t>ショウメイ</t>
    </rPh>
    <phoneticPr fontId="4"/>
  </si>
  <si>
    <t>表方</t>
    <rPh sb="0" eb="1">
      <t>オモテ</t>
    </rPh>
    <rPh sb="1" eb="2">
      <t>ガタ</t>
    </rPh>
    <phoneticPr fontId="4"/>
  </si>
  <si>
    <t>つら</t>
    <phoneticPr fontId="4"/>
  </si>
  <si>
    <t>もて</t>
    <phoneticPr fontId="4"/>
  </si>
  <si>
    <t>もてｶｳﾝﾀ</t>
    <phoneticPr fontId="4"/>
  </si>
  <si>
    <t>もて軽食</t>
    <rPh sb="2" eb="4">
      <t>ケイショク</t>
    </rPh>
    <phoneticPr fontId="4"/>
  </si>
  <si>
    <t>階段廊下</t>
    <rPh sb="0" eb="4">
      <t>カイダンロウカ</t>
    </rPh>
    <phoneticPr fontId="4"/>
  </si>
  <si>
    <t>学林堂</t>
    <rPh sb="0" eb="2">
      <t>ガクリンドウ</t>
    </rPh>
    <rPh sb="2" eb="3">
      <t>ドウ</t>
    </rPh>
    <phoneticPr fontId="4"/>
  </si>
  <si>
    <t>学林堂・    トイレ</t>
    <phoneticPr fontId="4"/>
  </si>
  <si>
    <t>井寸房</t>
    <rPh sb="0" eb="1">
      <t>イド</t>
    </rPh>
    <rPh sb="1" eb="2">
      <t>スンボウ</t>
    </rPh>
    <rPh sb="2" eb="3">
      <t>ｂｏｕ</t>
    </rPh>
    <phoneticPr fontId="4"/>
  </si>
  <si>
    <t>本楼</t>
    <rPh sb="0" eb="2">
      <t>ホンロウ</t>
    </rPh>
    <phoneticPr fontId="4"/>
  </si>
  <si>
    <t>★ゴミ箱</t>
    <rPh sb="3" eb="4">
      <t>バコ</t>
    </rPh>
    <phoneticPr fontId="4"/>
  </si>
  <si>
    <t>名札</t>
    <rPh sb="0" eb="2">
      <t>ナフダ</t>
    </rPh>
    <phoneticPr fontId="4"/>
  </si>
  <si>
    <t>ペット、ISIS通信セット</t>
    <rPh sb="8" eb="10">
      <t>ツウシン</t>
    </rPh>
    <phoneticPr fontId="4"/>
  </si>
  <si>
    <t>○</t>
  </si>
  <si>
    <t>☆2F　　　　座席確認</t>
    <rPh sb="7" eb="11">
      <t>ザセキカクニン</t>
    </rPh>
    <phoneticPr fontId="4"/>
  </si>
  <si>
    <t>インターブッキング</t>
    <phoneticPr fontId="4"/>
  </si>
  <si>
    <t>本袋しつらえ、お釣り、電卓</t>
    <rPh sb="0" eb="2">
      <t>ホンブクロ</t>
    </rPh>
    <rPh sb="8" eb="9">
      <t>ツ</t>
    </rPh>
    <rPh sb="11" eb="13">
      <t>デンタク</t>
    </rPh>
    <phoneticPr fontId="4"/>
  </si>
  <si>
    <t>しつらえ</t>
    <phoneticPr fontId="4"/>
  </si>
  <si>
    <t>(しつらえ）</t>
    <phoneticPr fontId="4"/>
  </si>
  <si>
    <t>受付準備</t>
    <phoneticPr fontId="4"/>
  </si>
  <si>
    <t>齋藤</t>
    <rPh sb="0" eb="2">
      <t>サイトウ</t>
    </rPh>
    <phoneticPr fontId="4"/>
  </si>
  <si>
    <t>12:15</t>
    <phoneticPr fontId="4"/>
  </si>
  <si>
    <t>各種手配</t>
  </si>
  <si>
    <t>本回収</t>
    <rPh sb="0" eb="3">
      <t>ホンカイシュウ</t>
    </rPh>
    <phoneticPr fontId="4"/>
  </si>
  <si>
    <t>　2F名札</t>
    <rPh sb="3" eb="5">
      <t>ナフダ</t>
    </rPh>
    <phoneticPr fontId="4"/>
  </si>
  <si>
    <t>1F名札/本楼誘導</t>
    <rPh sb="2" eb="4">
      <t>ナフダ</t>
    </rPh>
    <rPh sb="5" eb="9">
      <t>ホンロウユウドウ</t>
    </rPh>
    <phoneticPr fontId="4"/>
  </si>
  <si>
    <t>edition販売</t>
    <rPh sb="7" eb="9">
      <t>ハンバイ</t>
    </rPh>
    <phoneticPr fontId="4"/>
  </si>
  <si>
    <t>クローク/本楼誘導</t>
    <rPh sb="5" eb="9">
      <t>ホンロウユウドウ</t>
    </rPh>
    <phoneticPr fontId="4"/>
  </si>
  <si>
    <t>13:00</t>
    <phoneticPr fontId="4"/>
  </si>
  <si>
    <t>5min</t>
  </si>
  <si>
    <r>
      <t>●開始、オープニング</t>
    </r>
    <r>
      <rPr>
        <sz val="11"/>
        <rFont val="ＭＳ Ｐゴシック"/>
        <family val="3"/>
        <charset val="128"/>
      </rPr>
      <t>(１：青緑学林)</t>
    </r>
    <rPh sb="15" eb="17">
      <t>ガクリンドウ</t>
    </rPh>
    <phoneticPr fontId="4"/>
  </si>
  <si>
    <t>カメラ</t>
    <phoneticPr fontId="4"/>
  </si>
  <si>
    <t>タイム
キーパー</t>
    <phoneticPr fontId="4"/>
  </si>
  <si>
    <t>マイク回し
照明</t>
    <rPh sb="3" eb="4">
      <t>マワ</t>
    </rPh>
    <rPh sb="6" eb="8">
      <t>ショウメイ</t>
    </rPh>
    <phoneticPr fontId="4"/>
  </si>
  <si>
    <t>遊軍</t>
    <rPh sb="0" eb="2">
      <t>ユウグン</t>
    </rPh>
    <phoneticPr fontId="4"/>
  </si>
  <si>
    <t>伝奏連</t>
    <rPh sb="0" eb="1">
      <t>デンソウ</t>
    </rPh>
    <rPh sb="1" eb="2">
      <t>カナ</t>
    </rPh>
    <rPh sb="2" eb="3">
      <t>レン</t>
    </rPh>
    <phoneticPr fontId="4"/>
  </si>
  <si>
    <t>13:05</t>
    <phoneticPr fontId="4"/>
  </si>
  <si>
    <t>10min</t>
  </si>
  <si>
    <r>
      <t>●学林局長の挨拶</t>
    </r>
    <r>
      <rPr>
        <sz val="11"/>
        <rFont val="ＭＳ Ｐゴシック"/>
        <family val="3"/>
        <charset val="128"/>
      </rPr>
      <t>(１：青緑学林)</t>
    </r>
    <rPh sb="1" eb="2">
      <t>ガク</t>
    </rPh>
    <rPh sb="2" eb="3">
      <t>リン</t>
    </rPh>
    <rPh sb="3" eb="5">
      <t>キョクチョウ</t>
    </rPh>
    <phoneticPr fontId="4"/>
  </si>
  <si>
    <t>13:15</t>
    <phoneticPr fontId="4"/>
  </si>
  <si>
    <t>20min</t>
    <phoneticPr fontId="4"/>
  </si>
  <si>
    <r>
      <t>●校長メッセージ</t>
    </r>
    <r>
      <rPr>
        <sz val="11"/>
        <rFont val="ＭＳ Ｐゴシック"/>
        <family val="3"/>
        <charset val="128"/>
      </rPr>
      <t>(１：青緑学林)</t>
    </r>
    <rPh sb="1" eb="3">
      <t>コウチョウ</t>
    </rPh>
    <phoneticPr fontId="4"/>
  </si>
  <si>
    <t>軽食受取</t>
    <rPh sb="0" eb="3">
      <t>ケイショクウ</t>
    </rPh>
    <rPh sb="3" eb="4">
      <t>ト</t>
    </rPh>
    <phoneticPr fontId="4"/>
  </si>
  <si>
    <t>13:35</t>
    <phoneticPr fontId="4"/>
  </si>
  <si>
    <t>70min</t>
    <phoneticPr fontId="4"/>
  </si>
  <si>
    <r>
      <t>●卒門式１</t>
    </r>
    <r>
      <rPr>
        <sz val="11"/>
        <rFont val="ＭＳ Ｐゴシック"/>
        <family val="3"/>
        <charset val="128"/>
      </rPr>
      <t>(１：青緑学林)</t>
    </r>
    <rPh sb="1" eb="2">
      <t>ソツ</t>
    </rPh>
    <rPh sb="2" eb="3">
      <t>モン</t>
    </rPh>
    <rPh sb="3" eb="4">
      <t>シキ</t>
    </rPh>
    <rPh sb="8" eb="10">
      <t>アオミドリ</t>
    </rPh>
    <phoneticPr fontId="4"/>
  </si>
  <si>
    <t>本仕込</t>
  </si>
  <si>
    <t>14:45</t>
    <phoneticPr fontId="4"/>
  </si>
  <si>
    <t>25min</t>
    <phoneticPr fontId="4"/>
  </si>
  <si>
    <r>
      <rPr>
        <b/>
        <i/>
        <sz val="11"/>
        <rFont val="ＭＳ Ｐゴシック"/>
        <family val="3"/>
        <charset val="128"/>
      </rPr>
      <t>●</t>
    </r>
    <r>
      <rPr>
        <b/>
        <i/>
        <sz val="11"/>
        <color indexed="10"/>
        <rFont val="ＭＳ Ｐゴシック"/>
        <family val="3"/>
        <charset val="128"/>
      </rPr>
      <t>休憩</t>
    </r>
    <r>
      <rPr>
        <b/>
        <sz val="11"/>
        <rFont val="ＭＳ Ｐゴシック"/>
        <family val="3"/>
        <charset val="128"/>
      </rPr>
      <t xml:space="preserve"> </t>
    </r>
    <rPh sb="1" eb="3">
      <t>キュウケイ</t>
    </rPh>
    <phoneticPr fontId="4"/>
  </si>
  <si>
    <r>
      <rPr>
        <sz val="10"/>
        <rFont val="ＭＳ Ｐゴシック"/>
        <family val="2"/>
        <charset val="128"/>
      </rPr>
      <t>誘導</t>
    </r>
    <r>
      <rPr>
        <sz val="10"/>
        <color indexed="12"/>
        <rFont val="ＭＳ Ｐゴシック"/>
        <family val="3"/>
        <charset val="128"/>
      </rPr>
      <t>、本、</t>
    </r>
    <r>
      <rPr>
        <sz val="10"/>
        <color indexed="33"/>
        <rFont val="ＭＳ Ｐゴシック"/>
        <family val="3"/>
        <charset val="128"/>
      </rPr>
      <t>配布回収</t>
    </r>
    <r>
      <rPr>
        <sz val="10"/>
        <color indexed="12"/>
        <rFont val="ＭＳ Ｐゴシック"/>
        <family val="3"/>
        <charset val="128"/>
      </rPr>
      <t>、</t>
    </r>
    <r>
      <rPr>
        <sz val="10"/>
        <rFont val="ＭＳ Ｐゴシック"/>
        <family val="2"/>
        <charset val="128"/>
      </rPr>
      <t>ベル</t>
    </r>
    <rPh sb="3" eb="4">
      <t>ホンブクロ</t>
    </rPh>
    <phoneticPr fontId="4"/>
  </si>
  <si>
    <t>本交換</t>
    <rPh sb="1" eb="3">
      <t>ｋｏｕｋａンン</t>
    </rPh>
    <phoneticPr fontId="4"/>
  </si>
  <si>
    <t>誘導(青緑）本楼へ</t>
    <rPh sb="0" eb="2">
      <t>ユウドウ</t>
    </rPh>
    <rPh sb="3" eb="4">
      <t>アオ</t>
    </rPh>
    <rPh sb="4" eb="5">
      <t>ミドリ</t>
    </rPh>
    <rPh sb="6" eb="8">
      <t>ホンロウ</t>
    </rPh>
    <phoneticPr fontId="4"/>
  </si>
  <si>
    <t>カウンタ</t>
    <phoneticPr fontId="4"/>
  </si>
  <si>
    <t>授与ヘルプ</t>
    <rPh sb="0" eb="2">
      <t>ジュヨ</t>
    </rPh>
    <phoneticPr fontId="4"/>
  </si>
  <si>
    <t>14:50</t>
    <phoneticPr fontId="4"/>
  </si>
  <si>
    <t>60min</t>
    <phoneticPr fontId="4"/>
  </si>
  <si>
    <r>
      <t>●卒門式２</t>
    </r>
    <r>
      <rPr>
        <sz val="11"/>
        <rFont val="ＭＳ Ｐゴシック"/>
        <family val="3"/>
        <charset val="128"/>
      </rPr>
      <t xml:space="preserve"> (２：黄学林)</t>
    </r>
    <rPh sb="1" eb="2">
      <t>ソツ</t>
    </rPh>
    <rPh sb="2" eb="3">
      <t>モン</t>
    </rPh>
    <rPh sb="3" eb="4">
      <t>シキ</t>
    </rPh>
    <rPh sb="9" eb="10">
      <t>キイロ</t>
    </rPh>
    <rPh sb="10" eb="12">
      <t>ガクリン</t>
    </rPh>
    <phoneticPr fontId="4"/>
  </si>
  <si>
    <t>16:10</t>
    <phoneticPr fontId="4"/>
  </si>
  <si>
    <t>10min</t>
    <phoneticPr fontId="4"/>
  </si>
  <si>
    <t>●ホーホー蛍金沢編 (２：黄学林)</t>
    <rPh sb="5" eb="6">
      <t>ホタル</t>
    </rPh>
    <rPh sb="6" eb="9">
      <t>カナザワヘン</t>
    </rPh>
    <phoneticPr fontId="4"/>
  </si>
  <si>
    <t>茶菓子準備</t>
  </si>
  <si>
    <t>16:20</t>
    <phoneticPr fontId="4"/>
  </si>
  <si>
    <r>
      <t>●</t>
    </r>
    <r>
      <rPr>
        <b/>
        <i/>
        <sz val="11"/>
        <color indexed="10"/>
        <rFont val="ＭＳ Ｐゴシック"/>
        <family val="3"/>
        <charset val="128"/>
      </rPr>
      <t>休憩</t>
    </r>
    <phoneticPr fontId="4"/>
  </si>
  <si>
    <t>本交換</t>
    <phoneticPr fontId="4"/>
  </si>
  <si>
    <t>授与ヘルプ&amp;配布回収</t>
    <rPh sb="0" eb="2">
      <t>ジュヨ</t>
    </rPh>
    <rPh sb="6" eb="10">
      <t>ハイフカイシュウ</t>
    </rPh>
    <phoneticPr fontId="4"/>
  </si>
  <si>
    <t>16:40</t>
    <phoneticPr fontId="4"/>
  </si>
  <si>
    <r>
      <rPr>
        <b/>
        <i/>
        <sz val="11"/>
        <rFont val="ＭＳ Ｐゴシック"/>
        <family val="3"/>
        <charset val="128"/>
      </rPr>
      <t>●</t>
    </r>
    <r>
      <rPr>
        <b/>
        <sz val="11"/>
        <rFont val="ＭＳ Ｐゴシック"/>
        <family val="3"/>
        <charset val="128"/>
      </rPr>
      <t>卒門式３（3:黄学林）</t>
    </r>
    <rPh sb="1" eb="4">
      <t>ソツモンシキ</t>
    </rPh>
    <rPh sb="8" eb="9">
      <t>キイロ</t>
    </rPh>
    <rPh sb="9" eb="11">
      <t>ガクリン</t>
    </rPh>
    <phoneticPr fontId="4"/>
  </si>
  <si>
    <t>先達本貼り</t>
    <rPh sb="0" eb="3">
      <t>センダツホン</t>
    </rPh>
    <rPh sb="3" eb="4">
      <t>ハ</t>
    </rPh>
    <phoneticPr fontId="4"/>
  </si>
  <si>
    <t>35min</t>
    <phoneticPr fontId="4"/>
  </si>
  <si>
    <t>●NEXT編集道（3:黄学林）</t>
    <rPh sb="5" eb="7">
      <t>ヘンシュウ</t>
    </rPh>
    <rPh sb="7" eb="8">
      <t>ドウ</t>
    </rPh>
    <rPh sb="11" eb="12">
      <t>キイロ</t>
    </rPh>
    <phoneticPr fontId="4"/>
  </si>
  <si>
    <t>軽食準備</t>
    <rPh sb="2" eb="4">
      <t>ジュンビ</t>
    </rPh>
    <phoneticPr fontId="4"/>
  </si>
  <si>
    <t>50min</t>
    <phoneticPr fontId="4"/>
  </si>
  <si>
    <t>●結餉</t>
    <rPh sb="1" eb="2">
      <t>ユ</t>
    </rPh>
    <rPh sb="2" eb="3">
      <t>カレイイ</t>
    </rPh>
    <phoneticPr fontId="4"/>
  </si>
  <si>
    <t>本袋、配布回収、ベル、本楼レイアウト変更</t>
    <rPh sb="0" eb="2">
      <t>ホンブクロ</t>
    </rPh>
    <rPh sb="3" eb="5">
      <t>ハイフ</t>
    </rPh>
    <rPh sb="5" eb="7">
      <t>カイシュウ</t>
    </rPh>
    <rPh sb="11" eb="13">
      <t>ホンロウ</t>
    </rPh>
    <rPh sb="18" eb="20">
      <t>ヘンコウ</t>
    </rPh>
    <phoneticPr fontId="4"/>
  </si>
  <si>
    <t>5min</t>
    <phoneticPr fontId="4"/>
  </si>
  <si>
    <t>●林頭メッセージ</t>
    <rPh sb="1" eb="2">
      <t>ハヤシ</t>
    </rPh>
    <rPh sb="2" eb="3">
      <t>アタマ</t>
    </rPh>
    <phoneticPr fontId="4"/>
  </si>
  <si>
    <t>75min</t>
    <phoneticPr fontId="4"/>
  </si>
  <si>
    <t>●校長校話・エンディング映像</t>
    <rPh sb="1" eb="3">
      <t>コウチョウ</t>
    </rPh>
    <rPh sb="3" eb="4">
      <t>コウ</t>
    </rPh>
    <rPh sb="4" eb="5">
      <t>ハナシ</t>
    </rPh>
    <rPh sb="12" eb="14">
      <t>エイゾウ</t>
    </rPh>
    <phoneticPr fontId="4"/>
  </si>
  <si>
    <t>19:45</t>
    <phoneticPr fontId="4"/>
  </si>
  <si>
    <t>15min</t>
    <phoneticPr fontId="4"/>
  </si>
  <si>
    <t>●終了案内</t>
    <rPh sb="3" eb="5">
      <t>アンナイ</t>
    </rPh>
    <phoneticPr fontId="4"/>
  </si>
  <si>
    <r>
      <rPr>
        <sz val="10"/>
        <color indexed="17"/>
        <rFont val="ＭＳ Ｐゴシック"/>
        <family val="3"/>
        <charset val="128"/>
      </rPr>
      <t>名札回収</t>
    </r>
    <r>
      <rPr>
        <sz val="10"/>
        <rFont val="ＭＳ Ｐゴシック"/>
        <family val="2"/>
        <charset val="128"/>
      </rPr>
      <t>、クローク、傘、送り出し</t>
    </r>
    <rPh sb="0" eb="2">
      <t>ナフダ</t>
    </rPh>
    <rPh sb="2" eb="4">
      <t>カイシュウ</t>
    </rPh>
    <rPh sb="10" eb="11">
      <t>カサ</t>
    </rPh>
    <rPh sb="12" eb="13">
      <t>オク</t>
    </rPh>
    <rPh sb="14" eb="15">
      <t>ダ</t>
    </rPh>
    <phoneticPr fontId="4"/>
  </si>
  <si>
    <t>送り出し
片付け</t>
    <rPh sb="0" eb="1">
      <t>オク</t>
    </rPh>
    <rPh sb="2" eb="3">
      <t>ダ</t>
    </rPh>
    <rPh sb="5" eb="7">
      <t>カタヅ</t>
    </rPh>
    <phoneticPr fontId="4"/>
  </si>
  <si>
    <t>井寸房
名札回収</t>
    <rPh sb="0" eb="1">
      <t>セイ</t>
    </rPh>
    <rPh sb="1" eb="2">
      <t>スン</t>
    </rPh>
    <rPh sb="2" eb="3">
      <t>ボウ</t>
    </rPh>
    <rPh sb="4" eb="6">
      <t>ナフダ</t>
    </rPh>
    <rPh sb="6" eb="8">
      <t>カイシュウ</t>
    </rPh>
    <phoneticPr fontId="4"/>
  </si>
  <si>
    <t>20:00</t>
    <phoneticPr fontId="4"/>
  </si>
  <si>
    <t>※青緑、黄のホルダーカラーは仮（8/29）</t>
    <rPh sb="1" eb="3">
      <t>アオミドリ</t>
    </rPh>
    <rPh sb="4" eb="5">
      <t>キイロ</t>
    </rPh>
    <rPh sb="14" eb="15">
      <t>カリ</t>
    </rPh>
    <phoneticPr fontId="4"/>
  </si>
  <si>
    <t>阿久津</t>
    <rPh sb="0" eb="3">
      <t>アクツ</t>
    </rPh>
    <phoneticPr fontId="4"/>
  </si>
  <si>
    <t>一倉</t>
    <rPh sb="0" eb="2">
      <t>イチクラ</t>
    </rPh>
    <phoneticPr fontId="4"/>
  </si>
  <si>
    <t>奥本</t>
    <rPh sb="0" eb="2">
      <t>オクモト</t>
    </rPh>
    <phoneticPr fontId="4"/>
  </si>
  <si>
    <t>佐藤</t>
    <rPh sb="0" eb="2">
      <t>サトウ</t>
    </rPh>
    <phoneticPr fontId="4"/>
  </si>
  <si>
    <t>北條</t>
    <rPh sb="0" eb="2">
      <t>ホウジョウ</t>
    </rPh>
    <phoneticPr fontId="4"/>
  </si>
  <si>
    <t>中村</t>
    <rPh sb="0" eb="2">
      <t>ナカムラ</t>
    </rPh>
    <phoneticPr fontId="4"/>
  </si>
  <si>
    <t>相部</t>
    <rPh sb="0" eb="2">
      <t>アイベ</t>
    </rPh>
    <phoneticPr fontId="4"/>
  </si>
  <si>
    <t>角山</t>
    <rPh sb="0" eb="2">
      <t>カクヤマ</t>
    </rPh>
    <phoneticPr fontId="4"/>
  </si>
  <si>
    <t>主</t>
    <rPh sb="0" eb="1">
      <t>シュ</t>
    </rPh>
    <phoneticPr fontId="4"/>
  </si>
  <si>
    <t>牛山</t>
    <rPh sb="0" eb="2">
      <t>ウシヤマ</t>
    </rPh>
    <phoneticPr fontId="4"/>
  </si>
  <si>
    <t>総合司会</t>
    <rPh sb="0" eb="4">
      <t>ソウゴウシカイ</t>
    </rPh>
    <phoneticPr fontId="4"/>
  </si>
  <si>
    <t>1F
遊軍</t>
    <rPh sb="3" eb="5">
      <t>ユウグン</t>
    </rPh>
    <phoneticPr fontId="4"/>
  </si>
  <si>
    <t>1・2Ｆ階段
クローク
誘導</t>
    <rPh sb="4" eb="6">
      <t>カイダン</t>
    </rPh>
    <rPh sb="12" eb="14">
      <t>ユウドウ</t>
    </rPh>
    <phoneticPr fontId="4"/>
  </si>
  <si>
    <t>◆　88回　感門之盟（2025/9/6)</t>
    <rPh sb="4" eb="5">
      <t>カイ</t>
    </rPh>
    <rPh sb="6" eb="10">
      <t>カンモンノメイ</t>
    </rPh>
    <phoneticPr fontId="4"/>
  </si>
  <si>
    <t>オープニング</t>
    <phoneticPr fontId="47"/>
  </si>
  <si>
    <t>◯受付開始</t>
    <phoneticPr fontId="47"/>
  </si>
  <si>
    <t>51破突破式「突破式」</t>
    <rPh sb="7" eb="10">
      <t>トッパシキ</t>
    </rPh>
    <phoneticPr fontId="4"/>
  </si>
  <si>
    <t>学匠メッセージ</t>
    <rPh sb="0" eb="2">
      <t>ガクショウ</t>
    </rPh>
    <phoneticPr fontId="4"/>
  </si>
  <si>
    <t>「感門表授与」</t>
    <rPh sb="1" eb="2">
      <t>カン</t>
    </rPh>
    <rPh sb="2" eb="3">
      <t>モン</t>
    </rPh>
    <rPh sb="3" eb="4">
      <t>ヒョウ</t>
    </rPh>
    <rPh sb="4" eb="6">
      <t>ジュヨ</t>
    </rPh>
    <phoneticPr fontId="4"/>
  </si>
  <si>
    <t>「先達文庫授与」</t>
    <rPh sb="1" eb="5">
      <t>センダツブンコ</t>
    </rPh>
    <rPh sb="5" eb="7">
      <t>ジュヨ</t>
    </rPh>
    <phoneticPr fontId="4"/>
  </si>
  <si>
    <t>番匠メッセージ</t>
    <rPh sb="0" eb="2">
      <t>バンショウ</t>
    </rPh>
    <phoneticPr fontId="4"/>
  </si>
  <si>
    <t>突破式司会コール</t>
    <phoneticPr fontId="4"/>
  </si>
  <si>
    <t>破映像</t>
    <rPh sb="0" eb="1">
      <t>ハ</t>
    </rPh>
    <rPh sb="1" eb="3">
      <t>エイゾウ</t>
    </rPh>
    <phoneticPr fontId="4"/>
  </si>
  <si>
    <t>1-1</t>
    <phoneticPr fontId="47"/>
  </si>
  <si>
    <t>1-2</t>
    <phoneticPr fontId="47"/>
  </si>
  <si>
    <t>2</t>
    <phoneticPr fontId="47"/>
  </si>
  <si>
    <t>2-1</t>
    <phoneticPr fontId="47"/>
  </si>
  <si>
    <t>2-2</t>
    <phoneticPr fontId="47"/>
  </si>
  <si>
    <t>2-3</t>
    <phoneticPr fontId="47"/>
  </si>
  <si>
    <t>2-4</t>
    <phoneticPr fontId="47"/>
  </si>
  <si>
    <t>2-5</t>
    <phoneticPr fontId="47"/>
  </si>
  <si>
    <t>2-6</t>
    <phoneticPr fontId="47"/>
  </si>
  <si>
    <t>3-1</t>
    <phoneticPr fontId="47"/>
  </si>
  <si>
    <t>休憩
破：「学衆讃証」　花:「歓談」</t>
    <rPh sb="0" eb="2">
      <t>キュウケイ</t>
    </rPh>
    <rPh sb="3" eb="4">
      <t>ハ</t>
    </rPh>
    <rPh sb="12" eb="13">
      <t>ハナ</t>
    </rPh>
    <rPh sb="15" eb="17">
      <t>カンダン</t>
    </rPh>
    <phoneticPr fontId="4"/>
  </si>
  <si>
    <t>4</t>
    <phoneticPr fontId="47"/>
  </si>
  <si>
    <t>「第7回 P１グランプリ」</t>
    <rPh sb="1" eb="2">
      <t>ダイ</t>
    </rPh>
    <rPh sb="3" eb="4">
      <t>カイ</t>
    </rPh>
    <phoneticPr fontId="4"/>
  </si>
  <si>
    <t>4-1</t>
    <phoneticPr fontId="47"/>
  </si>
  <si>
    <t>P1：OP</t>
    <phoneticPr fontId="4"/>
  </si>
  <si>
    <t>4-2</t>
    <phoneticPr fontId="47"/>
  </si>
  <si>
    <t>趣旨説明、チーム紹介</t>
    <phoneticPr fontId="4"/>
  </si>
  <si>
    <t>4-3</t>
    <phoneticPr fontId="47"/>
  </si>
  <si>
    <t>審査員紹介</t>
    <rPh sb="0" eb="3">
      <t>シンサイン</t>
    </rPh>
    <rPh sb="3" eb="5">
      <t>ショウカイ</t>
    </rPh>
    <phoneticPr fontId="4"/>
  </si>
  <si>
    <t>4-4</t>
    <phoneticPr fontId="47"/>
  </si>
  <si>
    <t>P1プレゼン</t>
    <phoneticPr fontId="4"/>
  </si>
  <si>
    <t>4-5</t>
    <phoneticPr fontId="47"/>
  </si>
  <si>
    <t>審査促し、発表</t>
    <rPh sb="5" eb="7">
      <t>ハッピョウ</t>
    </rPh>
    <phoneticPr fontId="4"/>
  </si>
  <si>
    <t>4-6</t>
    <phoneticPr fontId="47"/>
  </si>
  <si>
    <t>P1：締め</t>
    <rPh sb="3" eb="4">
      <t>シ</t>
    </rPh>
    <phoneticPr fontId="4"/>
  </si>
  <si>
    <t>休憩
インターブッキング</t>
    <phoneticPr fontId="4"/>
  </si>
  <si>
    <t>43花 「放伝式」</t>
    <rPh sb="5" eb="8">
      <t>ホウデンシキ</t>
    </rPh>
    <phoneticPr fontId="4"/>
  </si>
  <si>
    <t>花伝放伝式：OP</t>
    <phoneticPr fontId="4"/>
  </si>
  <si>
    <t>花映像</t>
    <rPh sb="0" eb="1">
      <t>ハナ</t>
    </rPh>
    <rPh sb="1" eb="3">
      <t>エイゾウ</t>
    </rPh>
    <phoneticPr fontId="4"/>
  </si>
  <si>
    <t>所長メッセージ</t>
    <rPh sb="0" eb="2">
      <t>ショチョウ</t>
    </rPh>
    <phoneticPr fontId="4"/>
  </si>
  <si>
    <t>花伝扇授与</t>
    <rPh sb="0" eb="3">
      <t>カデンオウギ</t>
    </rPh>
    <rPh sb="3" eb="5">
      <t>ジュヨ</t>
    </rPh>
    <phoneticPr fontId="4"/>
  </si>
  <si>
    <t>「花伝選書授与」</t>
    <rPh sb="1" eb="3">
      <t>カデン</t>
    </rPh>
    <rPh sb="3" eb="5">
      <t>センショ</t>
    </rPh>
    <rPh sb="5" eb="7">
      <t>ジュヨ</t>
    </rPh>
    <phoneticPr fontId="4"/>
  </si>
  <si>
    <t>花伝放伝式：締め</t>
    <rPh sb="6" eb="7">
      <t>シ</t>
    </rPh>
    <phoneticPr fontId="4"/>
  </si>
  <si>
    <t>「教室名発表　冠界式」</t>
    <phoneticPr fontId="4"/>
  </si>
  <si>
    <t>教室名発表：OP</t>
    <rPh sb="0" eb="2">
      <t>キョウシツ</t>
    </rPh>
    <rPh sb="2" eb="3">
      <t>メイ</t>
    </rPh>
    <rPh sb="3" eb="5">
      <t>ハッピョウ</t>
    </rPh>
    <phoneticPr fontId="4"/>
  </si>
  <si>
    <t>教室名発表</t>
    <rPh sb="0" eb="2">
      <t>キョウシツ</t>
    </rPh>
    <rPh sb="2" eb="3">
      <t>メイ</t>
    </rPh>
    <rPh sb="3" eb="5">
      <t>ハッピョウ</t>
    </rPh>
    <phoneticPr fontId="4"/>
  </si>
  <si>
    <t>代表者メッセージ</t>
    <rPh sb="0" eb="3">
      <t>ダイヒョウシャ</t>
    </rPh>
    <phoneticPr fontId="4"/>
  </si>
  <si>
    <t>教室名発表：締め</t>
    <rPh sb="6" eb="7">
      <t>シ</t>
    </rPh>
    <phoneticPr fontId="4"/>
  </si>
  <si>
    <t>「学長校話」</t>
    <rPh sb="1" eb="3">
      <t>ガクチョウ</t>
    </rPh>
    <rPh sb="3" eb="4">
      <t>コウ</t>
    </rPh>
    <rPh sb="4" eb="5">
      <t>ハナシ</t>
    </rPh>
    <phoneticPr fontId="4"/>
  </si>
  <si>
    <t>林頭メッセージ</t>
    <rPh sb="0" eb="1">
      <t>ハヤシ</t>
    </rPh>
    <rPh sb="1" eb="2">
      <t>アタマ</t>
    </rPh>
    <phoneticPr fontId="4"/>
  </si>
  <si>
    <t>校話「酒無夕書斎SP」</t>
    <phoneticPr fontId="4"/>
  </si>
  <si>
    <t>司会締め</t>
    <rPh sb="0" eb="2">
      <t>シカイ</t>
    </rPh>
    <rPh sb="2" eb="3">
      <t>シ</t>
    </rPh>
    <phoneticPr fontId="4"/>
  </si>
  <si>
    <t>写真撮影</t>
    <rPh sb="0" eb="2">
      <t>シャシン</t>
    </rPh>
    <rPh sb="2" eb="4">
      <t>サツエイ</t>
    </rPh>
    <phoneticPr fontId="4"/>
  </si>
  <si>
    <t>6-5</t>
  </si>
  <si>
    <t>終了</t>
    <rPh sb="0" eb="2">
      <t>シュウリョウ</t>
    </rPh>
    <phoneticPr fontId="4"/>
  </si>
  <si>
    <t>休憩（4-7でI・Bできなかった人対応？）</t>
    <rPh sb="0" eb="2">
      <t>キュウケイ</t>
    </rPh>
    <rPh sb="16" eb="17">
      <t>ヒト</t>
    </rPh>
    <rPh sb="17" eb="19">
      <t>タイオウ</t>
    </rPh>
    <phoneticPr fontId="4"/>
  </si>
  <si>
    <t>森川</t>
    <rPh sb="0" eb="2">
      <t>モリカワ</t>
    </rPh>
    <phoneticPr fontId="4"/>
  </si>
  <si>
    <t>新坂</t>
    <rPh sb="0" eb="2">
      <t>ニイサカ</t>
    </rPh>
    <phoneticPr fontId="4"/>
  </si>
  <si>
    <t>中村裕美</t>
    <rPh sb="0" eb="2">
      <t>ナカムラ</t>
    </rPh>
    <rPh sb="2" eb="4">
      <t>ユミ</t>
    </rPh>
    <phoneticPr fontId="4"/>
  </si>
  <si>
    <t>中村麻人</t>
    <rPh sb="0" eb="2">
      <t>ナカムラ</t>
    </rPh>
    <rPh sb="2" eb="4">
      <t>アサト</t>
    </rPh>
    <phoneticPr fontId="4"/>
  </si>
  <si>
    <t>白川</t>
    <rPh sb="0" eb="2">
      <t>シラカワ</t>
    </rPh>
    <phoneticPr fontId="4"/>
  </si>
  <si>
    <t>戸田</t>
    <rPh sb="0" eb="2">
      <t>トダ</t>
    </rPh>
    <phoneticPr fontId="4"/>
  </si>
  <si>
    <t>得原</t>
    <rPh sb="0" eb="2">
      <t>エハラ</t>
    </rPh>
    <phoneticPr fontId="4"/>
  </si>
  <si>
    <t>桂</t>
    <rPh sb="0" eb="1">
      <t>カツラ</t>
    </rPh>
    <phoneticPr fontId="4"/>
  </si>
  <si>
    <t>中尾</t>
    <rPh sb="0" eb="2">
      <t>ナカオ</t>
    </rPh>
    <phoneticPr fontId="4"/>
  </si>
  <si>
    <t>吉田</t>
    <rPh sb="0" eb="2">
      <t>ヨシダ</t>
    </rPh>
    <phoneticPr fontId="4"/>
  </si>
  <si>
    <t>北原</t>
    <rPh sb="0" eb="2">
      <t>キタハラ</t>
    </rPh>
    <phoneticPr fontId="4"/>
  </si>
  <si>
    <t>内村</t>
    <rPh sb="0" eb="2">
      <t>ウチムラ</t>
    </rPh>
    <phoneticPr fontId="4"/>
  </si>
  <si>
    <t>※登降壇</t>
    <rPh sb="1" eb="4">
      <t>トウコウダン</t>
    </rPh>
    <phoneticPr fontId="4"/>
  </si>
  <si>
    <t>※登降壇・スタンドマイク</t>
    <rPh sb="1" eb="4">
      <t>トウコウダン</t>
    </rPh>
    <phoneticPr fontId="4"/>
  </si>
  <si>
    <t>※登降壇　休憩準備</t>
    <rPh sb="1" eb="4">
      <t>トウコウダン</t>
    </rPh>
    <rPh sb="5" eb="9">
      <t>キュウケイジュンビ</t>
    </rPh>
    <phoneticPr fontId="4"/>
  </si>
  <si>
    <t>休憩準備・インターブッキング準備</t>
    <rPh sb="0" eb="4">
      <t>キュウケイジュンビ</t>
    </rPh>
    <rPh sb="14" eb="16">
      <t>ジュンビ</t>
    </rPh>
    <phoneticPr fontId="4"/>
  </si>
  <si>
    <t>カウンタ・給茶・ゴミ回収</t>
    <rPh sb="5" eb="7">
      <t>キュウチャ</t>
    </rPh>
    <rPh sb="10" eb="12">
      <t>カイシュウ</t>
    </rPh>
    <phoneticPr fontId="4"/>
  </si>
  <si>
    <t>カウンタ・給茶・ゴミ回収
インターブッキング対応
席移動（誘導）</t>
    <rPh sb="5" eb="7">
      <t>キュウチャ</t>
    </rPh>
    <rPh sb="10" eb="12">
      <t>カイシュウ</t>
    </rPh>
    <rPh sb="22" eb="24">
      <t>タイオウ</t>
    </rPh>
    <rPh sb="25" eb="26">
      <t>セキ</t>
    </rPh>
    <rPh sb="26" eb="28">
      <t>イドウ</t>
    </rPh>
    <rPh sb="29" eb="31">
      <t>ユウドウ</t>
    </rPh>
    <phoneticPr fontId="4"/>
  </si>
  <si>
    <t>撤収作業・アフ感先発隊移動
アフ感誘導</t>
    <rPh sb="0" eb="4">
      <t>テッシュウサギョウ</t>
    </rPh>
    <rPh sb="7" eb="8">
      <t>カン</t>
    </rPh>
    <rPh sb="8" eb="11">
      <t>センパツタイ</t>
    </rPh>
    <rPh sb="11" eb="13">
      <t>イドウ</t>
    </rPh>
    <rPh sb="16" eb="17">
      <t>カン</t>
    </rPh>
    <rPh sb="17" eb="19">
      <t>ユウドウ</t>
    </rPh>
    <phoneticPr fontId="4"/>
  </si>
  <si>
    <t>◎</t>
    <phoneticPr fontId="4"/>
  </si>
  <si>
    <t>エディスト</t>
    <phoneticPr fontId="4"/>
  </si>
  <si>
    <t>コーナー司会</t>
    <rPh sb="4" eb="6">
      <t>シカイ</t>
    </rPh>
    <phoneticPr fontId="4"/>
  </si>
  <si>
    <t>総合司会</t>
    <rPh sb="0" eb="2">
      <t>ソウゴウ</t>
    </rPh>
    <rPh sb="2" eb="4">
      <t>シカイ</t>
    </rPh>
    <phoneticPr fontId="4"/>
  </si>
  <si>
    <t>井寸房     受付＆誘導</t>
    <rPh sb="0" eb="1">
      <t>イド</t>
    </rPh>
    <rPh sb="1" eb="2">
      <t>イッスン</t>
    </rPh>
    <rPh sb="2" eb="3">
      <t>ボウ</t>
    </rPh>
    <rPh sb="8" eb="10">
      <t>ウケツケ</t>
    </rPh>
    <rPh sb="11" eb="13">
      <t>ユウドウ</t>
    </rPh>
    <phoneticPr fontId="4"/>
  </si>
  <si>
    <t>井寸房
本受付</t>
    <rPh sb="0" eb="3">
      <t>セイスンボウ</t>
    </rPh>
    <rPh sb="4" eb="7">
      <t>ホンウケツケ</t>
    </rPh>
    <phoneticPr fontId="4"/>
  </si>
  <si>
    <t>井寸房・
本受付</t>
    <rPh sb="0" eb="1">
      <t>イ</t>
    </rPh>
    <rPh sb="1" eb="3">
      <t>スンボウ</t>
    </rPh>
    <rPh sb="5" eb="6">
      <t>ホン</t>
    </rPh>
    <rPh sb="6" eb="8">
      <t>ウケツケ</t>
    </rPh>
    <phoneticPr fontId="4"/>
  </si>
  <si>
    <t>1F
本楼誘導</t>
    <rPh sb="3" eb="7">
      <t>ホンロウユウドウ</t>
    </rPh>
    <phoneticPr fontId="4"/>
  </si>
  <si>
    <t>本回収セッティング</t>
    <rPh sb="0" eb="3">
      <t>ホンカイシュウ</t>
    </rPh>
    <phoneticPr fontId="4"/>
  </si>
  <si>
    <t>1・2Ｆ
遊軍</t>
    <rPh sb="5" eb="7">
      <t>ユウグン</t>
    </rPh>
    <phoneticPr fontId="4"/>
  </si>
  <si>
    <t>2F誘導</t>
    <rPh sb="2" eb="4">
      <t>ユウドウ</t>
    </rPh>
    <phoneticPr fontId="4"/>
  </si>
  <si>
    <t>2F
名札</t>
    <rPh sb="3" eb="5">
      <t>ナフダ</t>
    </rPh>
    <phoneticPr fontId="4"/>
  </si>
  <si>
    <t>※登降壇・インターブッキング準備</t>
    <rPh sb="1" eb="4">
      <t>トウコウダン</t>
    </rPh>
    <phoneticPr fontId="4"/>
  </si>
  <si>
    <t>※登降壇・スタンドマイク
インターブッキング準備？</t>
    <rPh sb="1" eb="4">
      <t>トウコウダン</t>
    </rPh>
    <rPh sb="22" eb="24">
      <t>ジュンビ</t>
    </rPh>
    <phoneticPr fontId="4"/>
  </si>
  <si>
    <t>※登降壇
インターブッキング準備？</t>
    <rPh sb="1" eb="4">
      <t>トウコウダン</t>
    </rPh>
    <phoneticPr fontId="4"/>
  </si>
  <si>
    <t>アフ感</t>
    <rPh sb="2" eb="3">
      <t>カン</t>
    </rPh>
    <phoneticPr fontId="4"/>
  </si>
  <si>
    <t>原田祥子</t>
    <rPh sb="0" eb="2">
      <t>ハラダ</t>
    </rPh>
    <rPh sb="2" eb="4">
      <t>ショウコ</t>
    </rPh>
    <phoneticPr fontId="4"/>
  </si>
  <si>
    <t>受付・カウンタ・他</t>
    <rPh sb="0" eb="2">
      <t>ウケツケ</t>
    </rPh>
    <rPh sb="8" eb="9">
      <t>ホカ</t>
    </rPh>
    <phoneticPr fontId="4"/>
  </si>
  <si>
    <t>スタンド
マイク</t>
    <phoneticPr fontId="4"/>
  </si>
  <si>
    <t>カウンター受付</t>
    <rPh sb="5" eb="7">
      <t>ウケツケ</t>
    </rPh>
    <phoneticPr fontId="4"/>
  </si>
  <si>
    <t>本楼
軽食配布・ゴミ回収</t>
    <rPh sb="0" eb="2">
      <t>ホンロウ</t>
    </rPh>
    <rPh sb="3" eb="7">
      <t>ケイショクハイフ</t>
    </rPh>
    <rPh sb="10" eb="12">
      <t>カイシュウ</t>
    </rPh>
    <phoneticPr fontId="4"/>
  </si>
  <si>
    <t>井寸房
本配布</t>
    <rPh sb="0" eb="3">
      <t>セイスンボウ</t>
    </rPh>
    <rPh sb="4" eb="5">
      <t>ホン</t>
    </rPh>
    <rPh sb="5" eb="7">
      <t>ハイフ</t>
    </rPh>
    <phoneticPr fontId="4"/>
  </si>
  <si>
    <t>学林堂
軽食配布・ゴミ回収</t>
    <rPh sb="0" eb="3">
      <t>ガクリンドウ</t>
    </rPh>
    <rPh sb="4" eb="8">
      <t>ケイショクハイフ</t>
    </rPh>
    <rPh sb="11" eb="13">
      <t>カイシュウ</t>
    </rPh>
    <phoneticPr fontId="4"/>
  </si>
  <si>
    <t>インターブッキング準備</t>
    <rPh sb="9" eb="11">
      <t>ジュンビ</t>
    </rPh>
    <phoneticPr fontId="4"/>
  </si>
  <si>
    <t>学衆讃証</t>
    <rPh sb="0" eb="2">
      <t>ガクシュウ</t>
    </rPh>
    <rPh sb="2" eb="3">
      <t>タタ</t>
    </rPh>
    <rPh sb="3" eb="4">
      <t>ショウ</t>
    </rPh>
    <phoneticPr fontId="4"/>
  </si>
  <si>
    <t>インターブッキング案内</t>
    <rPh sb="9" eb="11">
      <t>アンナイ</t>
    </rPh>
    <phoneticPr fontId="4"/>
  </si>
  <si>
    <t>アフ感案内</t>
    <rPh sb="2" eb="5">
      <t>カンアンナイ</t>
    </rPh>
    <phoneticPr fontId="4"/>
  </si>
  <si>
    <t>アフ感
先発隊</t>
    <rPh sb="2" eb="3">
      <t>カン</t>
    </rPh>
    <rPh sb="4" eb="7">
      <t>センパツタイ</t>
    </rPh>
    <rPh sb="6" eb="7">
      <t>タイ</t>
    </rPh>
    <phoneticPr fontId="4"/>
  </si>
  <si>
    <t>クローク
＆撤収作業</t>
    <rPh sb="6" eb="10">
      <t>テッシュウサギョウ</t>
    </rPh>
    <phoneticPr fontId="4"/>
  </si>
  <si>
    <t>アフ感誘導</t>
    <rPh sb="2" eb="5">
      <t>カンユウドウ</t>
    </rPh>
    <phoneticPr fontId="4"/>
  </si>
  <si>
    <t>撤収作業～アフ感</t>
    <rPh sb="0" eb="4">
      <t>テッシュウサギョウ</t>
    </rPh>
    <rPh sb="7" eb="8">
      <t>カン</t>
    </rPh>
    <phoneticPr fontId="4"/>
  </si>
  <si>
    <t>休憩終わりベル</t>
    <rPh sb="0" eb="3">
      <t>キュウケイオ</t>
    </rPh>
    <phoneticPr fontId="4"/>
  </si>
  <si>
    <t>井寸房
本受付準備</t>
    <rPh sb="0" eb="3">
      <t>セイスンボウ</t>
    </rPh>
    <rPh sb="4" eb="7">
      <t>ホンウケツケ</t>
    </rPh>
    <rPh sb="7" eb="9">
      <t>ジュンビ</t>
    </rPh>
    <phoneticPr fontId="4"/>
  </si>
  <si>
    <t>1F名札
準備</t>
    <rPh sb="2" eb="4">
      <t>ナフダ</t>
    </rPh>
    <rPh sb="5" eb="7">
      <t>ジュンビ</t>
    </rPh>
    <phoneticPr fontId="4"/>
  </si>
  <si>
    <t>2F名札
準備</t>
    <rPh sb="2" eb="4">
      <t>ナフダ</t>
    </rPh>
    <rPh sb="5" eb="7">
      <t>ジュンビ</t>
    </rPh>
    <phoneticPr fontId="4"/>
  </si>
  <si>
    <t>2F飲食
セット</t>
    <rPh sb="2" eb="4">
      <t>インショク</t>
    </rPh>
    <phoneticPr fontId="4"/>
  </si>
  <si>
    <t>クローク
準備</t>
    <rPh sb="5" eb="7">
      <t>ジュンビ</t>
    </rPh>
    <phoneticPr fontId="4"/>
  </si>
  <si>
    <t>クローク2名は必須。アフ感への誘導は各師範・師範代で対応。
アフ感対応師範は先行してアフ感会場へ移動。（破・花それぞれ3～4名）
本楼・学林堂の撤収は各師範が手伝いつつ、破・花メンバーはアフ感に遅れないよう移動。
●確認：終了後、名札は回収しない？（回収はアフ感で・師範が回収し、追って編工研に返す？）</t>
    <rPh sb="5" eb="6">
      <t>メイ</t>
    </rPh>
    <rPh sb="7" eb="9">
      <t>ヒッス</t>
    </rPh>
    <rPh sb="12" eb="13">
      <t>カン</t>
    </rPh>
    <rPh sb="15" eb="17">
      <t>ユウドウ</t>
    </rPh>
    <rPh sb="18" eb="21">
      <t>カクシハン</t>
    </rPh>
    <rPh sb="22" eb="25">
      <t>シハンダイ</t>
    </rPh>
    <rPh sb="26" eb="28">
      <t>タイオウ</t>
    </rPh>
    <rPh sb="32" eb="37">
      <t>カンタイオウシハン</t>
    </rPh>
    <rPh sb="38" eb="40">
      <t>センコウ</t>
    </rPh>
    <rPh sb="44" eb="47">
      <t>カンカイジョウ</t>
    </rPh>
    <rPh sb="48" eb="50">
      <t>イドウ</t>
    </rPh>
    <rPh sb="52" eb="53">
      <t>ハ</t>
    </rPh>
    <rPh sb="54" eb="55">
      <t>ハナ</t>
    </rPh>
    <rPh sb="62" eb="63">
      <t>メイ</t>
    </rPh>
    <rPh sb="65" eb="66">
      <t>ホン</t>
    </rPh>
    <rPh sb="66" eb="67">
      <t>ロウ</t>
    </rPh>
    <rPh sb="68" eb="70">
      <t>ガクリン</t>
    </rPh>
    <rPh sb="70" eb="71">
      <t>ドウ</t>
    </rPh>
    <rPh sb="72" eb="74">
      <t>テッシュウ</t>
    </rPh>
    <rPh sb="75" eb="76">
      <t>カク</t>
    </rPh>
    <rPh sb="76" eb="78">
      <t>シハン</t>
    </rPh>
    <rPh sb="79" eb="81">
      <t>テツダ</t>
    </rPh>
    <rPh sb="85" eb="86">
      <t>ハ</t>
    </rPh>
    <rPh sb="87" eb="88">
      <t>ハナ</t>
    </rPh>
    <rPh sb="95" eb="96">
      <t>カン</t>
    </rPh>
    <rPh sb="97" eb="98">
      <t>オク</t>
    </rPh>
    <rPh sb="103" eb="105">
      <t>イドウ</t>
    </rPh>
    <rPh sb="108" eb="110">
      <t>カクニン</t>
    </rPh>
    <rPh sb="111" eb="114">
      <t>シュウリョウゴ</t>
    </rPh>
    <rPh sb="115" eb="117">
      <t>ナフダ</t>
    </rPh>
    <rPh sb="118" eb="120">
      <t>カイシュウ</t>
    </rPh>
    <phoneticPr fontId="4"/>
  </si>
  <si>
    <t>井寸房
名札回収
（アフ感不参加者分）</t>
    <rPh sb="0" eb="3">
      <t>セイスンボウ</t>
    </rPh>
    <rPh sb="4" eb="8">
      <t>ナフダカイシュウ</t>
    </rPh>
    <rPh sb="12" eb="16">
      <t>カンフサンカ</t>
    </rPh>
    <rPh sb="16" eb="17">
      <t>シャ</t>
    </rPh>
    <rPh sb="17" eb="18">
      <t>ブン</t>
    </rPh>
    <phoneticPr fontId="4"/>
  </si>
  <si>
    <t>●登降壇のサポート（登壇促し・マイク調整）で各1名</t>
    <rPh sb="1" eb="4">
      <t>トウコウダン</t>
    </rPh>
    <rPh sb="10" eb="13">
      <t>トウダンウナガ</t>
    </rPh>
    <rPh sb="18" eb="20">
      <t>チョウセイ</t>
    </rPh>
    <rPh sb="22" eb="23">
      <t>カク</t>
    </rPh>
    <rPh sb="24" eb="25">
      <t>メイ</t>
    </rPh>
    <phoneticPr fontId="4"/>
  </si>
  <si>
    <t>ここから、本楼は破師範陣中心にサポート</t>
    <rPh sb="5" eb="7">
      <t>ホンロウ</t>
    </rPh>
    <rPh sb="8" eb="9">
      <t>ハ</t>
    </rPh>
    <rPh sb="9" eb="14">
      <t>シハンジンチュウシン</t>
    </rPh>
    <phoneticPr fontId="4"/>
  </si>
  <si>
    <t xml:space="preserve">●学衆讃証の場所は破師範・師範代で誘導。　　
</t>
    <rPh sb="1" eb="3">
      <t>ガクシュウ</t>
    </rPh>
    <rPh sb="6" eb="8">
      <t>バショ</t>
    </rPh>
    <rPh sb="9" eb="10">
      <t>ハ</t>
    </rPh>
    <rPh sb="10" eb="12">
      <t>シハン</t>
    </rPh>
    <rPh sb="13" eb="16">
      <t>シハンダイ</t>
    </rPh>
    <rPh sb="17" eb="19">
      <t>ユウドウ</t>
    </rPh>
    <phoneticPr fontId="4"/>
  </si>
  <si>
    <t xml:space="preserve">●本楼もカウンターでの飲食提供を基本に、お盆の準備して師範・師範代に（教室分など）運んでもらえるようにする。
カウンター2名＋1名。ゴミ回収は師範で率先して行う。　学林堂もゴミ回収など各師範が率先して行う
</t>
    <rPh sb="1" eb="2">
      <t>ホン</t>
    </rPh>
    <rPh sb="2" eb="3">
      <t>ロウ</t>
    </rPh>
    <rPh sb="11" eb="13">
      <t>インショク</t>
    </rPh>
    <rPh sb="13" eb="15">
      <t>テイキョウ</t>
    </rPh>
    <rPh sb="16" eb="18">
      <t>キホン</t>
    </rPh>
    <rPh sb="21" eb="22">
      <t>ボン</t>
    </rPh>
    <rPh sb="23" eb="25">
      <t>ジュンビ</t>
    </rPh>
    <rPh sb="27" eb="29">
      <t>シハン</t>
    </rPh>
    <rPh sb="30" eb="33">
      <t>シハンダイ</t>
    </rPh>
    <rPh sb="35" eb="38">
      <t>キョウシツブン</t>
    </rPh>
    <rPh sb="41" eb="42">
      <t>ハコ</t>
    </rPh>
    <rPh sb="61" eb="62">
      <t>メイ</t>
    </rPh>
    <rPh sb="64" eb="65">
      <t>メイ</t>
    </rPh>
    <rPh sb="68" eb="70">
      <t>カイシュウ</t>
    </rPh>
    <rPh sb="71" eb="73">
      <t>シハン</t>
    </rPh>
    <rPh sb="78" eb="79">
      <t>オコナ</t>
    </rPh>
    <rPh sb="82" eb="85">
      <t>ガクリンドウ</t>
    </rPh>
    <rPh sb="88" eb="90">
      <t>カイシュウ</t>
    </rPh>
    <rPh sb="92" eb="95">
      <t>カクシハン</t>
    </rPh>
    <rPh sb="96" eb="98">
      <t>ソッセン</t>
    </rPh>
    <phoneticPr fontId="4"/>
  </si>
  <si>
    <t>開始後、本楼カウンターに受付に2名希望　2F学林堂は1名希望</t>
    <rPh sb="0" eb="3">
      <t>カイシゴ</t>
    </rPh>
    <rPh sb="4" eb="6">
      <t>ホンロウ</t>
    </rPh>
    <rPh sb="12" eb="14">
      <t>ウケツケ</t>
    </rPh>
    <rPh sb="16" eb="17">
      <t>メイ</t>
    </rPh>
    <rPh sb="17" eb="19">
      <t>キボウ</t>
    </rPh>
    <rPh sb="22" eb="24">
      <t>ガクリン</t>
    </rPh>
    <rPh sb="24" eb="25">
      <t>ドウ</t>
    </rPh>
    <rPh sb="27" eb="28">
      <t>メイ</t>
    </rPh>
    <rPh sb="28" eb="30">
      <t>キボウ</t>
    </rPh>
    <phoneticPr fontId="4"/>
  </si>
  <si>
    <t>2F
遅刻者受付</t>
    <rPh sb="3" eb="6">
      <t>チコクシャ</t>
    </rPh>
    <rPh sb="6" eb="8">
      <t>ウケツケ</t>
    </rPh>
    <phoneticPr fontId="4"/>
  </si>
  <si>
    <t>コーナー司会・アフ感</t>
    <rPh sb="4" eb="6">
      <t>シカイ</t>
    </rPh>
    <rPh sb="9" eb="10">
      <t>カン</t>
    </rPh>
    <phoneticPr fontId="4"/>
  </si>
  <si>
    <t>JUST記者＆リンク</t>
    <rPh sb="4" eb="6">
      <t>キシャ</t>
    </rPh>
    <phoneticPr fontId="4"/>
  </si>
  <si>
    <t>登壇？</t>
    <rPh sb="0" eb="2">
      <t>トウダン</t>
    </rPh>
    <phoneticPr fontId="4"/>
  </si>
  <si>
    <t>●登降壇のサポート（登壇促し）で1名</t>
    <rPh sb="1" eb="4">
      <t>トウコウダン</t>
    </rPh>
    <rPh sb="10" eb="13">
      <t>トウダンウナガ</t>
    </rPh>
    <rPh sb="17" eb="18">
      <t>メイ</t>
    </rPh>
    <phoneticPr fontId="4"/>
  </si>
  <si>
    <t>集合　受付など説明</t>
    <rPh sb="0" eb="2">
      <t>シュウゴウ</t>
    </rPh>
    <rPh sb="3" eb="5">
      <t>ウケツケ</t>
    </rPh>
    <rPh sb="7" eb="9">
      <t>セツメイ</t>
    </rPh>
    <phoneticPr fontId="4"/>
  </si>
  <si>
    <t>14:00～</t>
    <phoneticPr fontId="4"/>
  </si>
  <si>
    <t>遅れて
参加</t>
    <rPh sb="0" eb="1">
      <t>オク</t>
    </rPh>
    <rPh sb="4" eb="6">
      <t>サンカ</t>
    </rPh>
    <phoneticPr fontId="4"/>
  </si>
  <si>
    <t>おやつ説明
感門団説明
登壇</t>
    <rPh sb="3" eb="5">
      <t>セツメイ</t>
    </rPh>
    <rPh sb="6" eb="11">
      <t>カンモンダンセツメイ</t>
    </rPh>
    <phoneticPr fontId="4"/>
  </si>
  <si>
    <t>11:00頃着</t>
    <rPh sb="5" eb="6">
      <t>ゴロ</t>
    </rPh>
    <rPh sb="6" eb="7">
      <t>チャク</t>
    </rPh>
    <phoneticPr fontId="4"/>
  </si>
  <si>
    <t>10:00頃着</t>
    <rPh sb="5" eb="6">
      <t>ゴロ</t>
    </rPh>
    <rPh sb="6" eb="7">
      <t>チャク</t>
    </rPh>
    <phoneticPr fontId="4"/>
  </si>
  <si>
    <t>受付・タイムキーパー</t>
    <rPh sb="0" eb="2">
      <t>ウケツケ</t>
    </rPh>
    <phoneticPr fontId="4"/>
  </si>
  <si>
    <t>タイムキーパー</t>
    <phoneticPr fontId="4"/>
  </si>
  <si>
    <t>軽食休憩は、4-7 6-5→3-1、4-7に変更</t>
    <rPh sb="0" eb="4">
      <t>ケイショクキュウケイ</t>
    </rPh>
    <rPh sb="22" eb="24">
      <t>ヘンコウ</t>
    </rPh>
    <phoneticPr fontId="4"/>
  </si>
  <si>
    <t>おやつ説明
黒膜衆説明
登壇</t>
    <rPh sb="3" eb="5">
      <t>セツメイ</t>
    </rPh>
    <rPh sb="6" eb="7">
      <t>クロ</t>
    </rPh>
    <rPh sb="7" eb="8">
      <t>マク</t>
    </rPh>
    <rPh sb="8" eb="9">
      <t>シュウ</t>
    </rPh>
    <rPh sb="9" eb="11">
      <t>セツメイ</t>
    </rPh>
    <phoneticPr fontId="4"/>
  </si>
  <si>
    <t>11:30頃着</t>
    <rPh sb="5" eb="7">
      <t>ゴロチャク</t>
    </rPh>
    <phoneticPr fontId="4"/>
  </si>
  <si>
    <t>高本</t>
    <rPh sb="0" eb="2">
      <t>タカモト</t>
    </rPh>
    <phoneticPr fontId="4"/>
  </si>
  <si>
    <t>総合司会メッセージ</t>
    <phoneticPr fontId="4"/>
  </si>
  <si>
    <t>八田律師(学林)メッセージ</t>
    <rPh sb="2" eb="3">
      <t>リツ</t>
    </rPh>
    <rPh sb="3" eb="4">
      <t>シ</t>
    </rPh>
    <phoneticPr fontId="4"/>
  </si>
  <si>
    <t>2-7</t>
  </si>
  <si>
    <t>2-8</t>
  </si>
  <si>
    <t>感門団他紹介とインターブッキング・お菓子案内</t>
    <rPh sb="0" eb="3">
      <t xml:space="preserve">カンモンダン </t>
    </rPh>
    <rPh sb="3" eb="4">
      <t>ホカ</t>
    </rPh>
    <rPh sb="4" eb="6">
      <t xml:space="preserve">ショウカイ </t>
    </rPh>
    <rPh sb="18" eb="20">
      <t>カシ</t>
    </rPh>
    <rPh sb="20" eb="22">
      <t xml:space="preserve">アンナイ </t>
    </rPh>
    <phoneticPr fontId="4"/>
  </si>
  <si>
    <t>学長校話ＯＰ</t>
    <rPh sb="0" eb="4">
      <t>ガクチョウコウワ</t>
    </rPh>
    <phoneticPr fontId="4"/>
  </si>
  <si>
    <t>6-1</t>
    <phoneticPr fontId="62"/>
  </si>
  <si>
    <t>6-2</t>
    <phoneticPr fontId="4"/>
  </si>
  <si>
    <t>6-3</t>
  </si>
  <si>
    <t>6-4</t>
  </si>
  <si>
    <t>6-6</t>
  </si>
  <si>
    <t>7</t>
    <phoneticPr fontId="62"/>
  </si>
  <si>
    <t>7-1</t>
    <phoneticPr fontId="62"/>
  </si>
  <si>
    <t>7-2</t>
    <phoneticPr fontId="4"/>
  </si>
  <si>
    <t>7-3</t>
  </si>
  <si>
    <t>7-4</t>
  </si>
  <si>
    <t>8</t>
    <phoneticPr fontId="62"/>
  </si>
  <si>
    <t>8-1</t>
    <phoneticPr fontId="62"/>
  </si>
  <si>
    <t>8-2</t>
    <phoneticPr fontId="4"/>
  </si>
  <si>
    <t>8-3</t>
  </si>
  <si>
    <t>8-4</t>
  </si>
  <si>
    <t>9-1</t>
    <phoneticPr fontId="47"/>
  </si>
  <si>
    <t>突破式締め＆
学衆讃証＆お菓子ナビ案内</t>
    <rPh sb="0" eb="3">
      <t>トッパシキ</t>
    </rPh>
    <phoneticPr fontId="4"/>
  </si>
  <si>
    <r>
      <rPr>
        <sz val="14"/>
        <color rgb="FF0070C0"/>
        <rFont val="ＭＳ Ｐゴシック"/>
        <family val="3"/>
        <charset val="128"/>
      </rPr>
      <t>受付時希望人数※井寸房が暑いので適宜交代しながらでお願いします。　　</t>
    </r>
    <r>
      <rPr>
        <sz val="14"/>
        <color rgb="FF00B050"/>
        <rFont val="ＭＳ Ｐゴシック"/>
        <family val="3"/>
        <charset val="128"/>
      </rPr>
      <t>井寸房：</t>
    </r>
    <r>
      <rPr>
        <sz val="14"/>
        <color rgb="FFFF0000"/>
        <rFont val="ＭＳ Ｐゴシック"/>
        <family val="3"/>
        <charset val="128"/>
      </rPr>
      <t>受付2名＋2名で交代制（若林・内村・相部・紀平）／本受付2名＋2名で交代制（吉田・高田・森川・古谷）／名札：1名で交代制（中尾・桂）／</t>
    </r>
    <r>
      <rPr>
        <sz val="14"/>
        <color rgb="FF00B050"/>
        <rFont val="ＭＳ Ｐゴシック"/>
        <family val="3"/>
        <charset val="128"/>
      </rPr>
      <t>本楼：</t>
    </r>
    <r>
      <rPr>
        <sz val="14"/>
        <color rgb="FFFF0000"/>
        <rFont val="ＭＳ Ｐゴシック"/>
        <family val="3"/>
        <charset val="128"/>
      </rPr>
      <t>誘導2名（原田祥子・北原＋名札の2名）／１Ｆ遊軍1名（福田）／</t>
    </r>
    <r>
      <rPr>
        <sz val="14"/>
        <color rgb="FF00B050"/>
        <rFont val="ＭＳ Ｐゴシック"/>
        <family val="3"/>
        <charset val="128"/>
      </rPr>
      <t>2F学林堂：</t>
    </r>
    <r>
      <rPr>
        <sz val="14"/>
        <color rgb="FFFF0000"/>
        <rFont val="ＭＳ Ｐゴシック"/>
        <family val="3"/>
        <charset val="128"/>
      </rPr>
      <t>名札2名（麻人・齋藤）／誘導2名（森本・岩野）／</t>
    </r>
    <r>
      <rPr>
        <sz val="14"/>
        <color rgb="FF00B050"/>
        <rFont val="ＭＳ Ｐゴシック"/>
        <family val="3"/>
        <charset val="128"/>
      </rPr>
      <t>2F学林デスク：</t>
    </r>
    <r>
      <rPr>
        <sz val="14"/>
        <color rgb="FFFF0000"/>
        <rFont val="ＭＳ Ｐゴシック"/>
        <family val="3"/>
        <charset val="128"/>
      </rPr>
      <t>クローク1名（新井）／2F遊軍1名（吉井）</t>
    </r>
    <r>
      <rPr>
        <sz val="14"/>
        <color rgb="FF00B050"/>
        <rFont val="ＭＳ Ｐゴシック"/>
        <family val="3"/>
        <charset val="128"/>
      </rPr>
      <t>１・２Ｆ階段：</t>
    </r>
    <r>
      <rPr>
        <sz val="14"/>
        <color rgb="FFFF0000"/>
        <rFont val="ＭＳ Ｐゴシック"/>
        <family val="3"/>
        <charset val="128"/>
      </rPr>
      <t>誘導（学林堂及びクロークへ）3名（新坂・山崎・得原）、１・２Ｆ遊軍１名（村井）</t>
    </r>
    <rPh sb="8" eb="11">
      <t>セイスンボウ</t>
    </rPh>
    <rPh sb="12" eb="13">
      <t>アツ</t>
    </rPh>
    <rPh sb="44" eb="45">
      <t>メイ</t>
    </rPh>
    <rPh sb="46" eb="49">
      <t>コウタイセイ</t>
    </rPh>
    <rPh sb="50" eb="52">
      <t>ワカバヤシ</t>
    </rPh>
    <rPh sb="53" eb="55">
      <t>ウチムラ</t>
    </rPh>
    <rPh sb="56" eb="58">
      <t>アイベ</t>
    </rPh>
    <rPh sb="59" eb="61">
      <t>キヒラ</t>
    </rPh>
    <rPh sb="63" eb="66">
      <t>ホンウケツケ</t>
    </rPh>
    <rPh sb="67" eb="68">
      <t>メイ</t>
    </rPh>
    <rPh sb="70" eb="71">
      <t>メイ</t>
    </rPh>
    <rPh sb="72" eb="75">
      <t>コウタイセイ</t>
    </rPh>
    <rPh sb="76" eb="78">
      <t>ヨシダ</t>
    </rPh>
    <rPh sb="79" eb="81">
      <t>タカダ</t>
    </rPh>
    <rPh sb="82" eb="84">
      <t>モリカワ</t>
    </rPh>
    <rPh sb="85" eb="87">
      <t>フルヤ</t>
    </rPh>
    <rPh sb="89" eb="91">
      <t>ナフダ</t>
    </rPh>
    <rPh sb="93" eb="94">
      <t>メイ</t>
    </rPh>
    <rPh sb="95" eb="98">
      <t>コウタイセイ</t>
    </rPh>
    <rPh sb="99" eb="101">
      <t>ナカオ</t>
    </rPh>
    <rPh sb="102" eb="103">
      <t>カツラ</t>
    </rPh>
    <rPh sb="108" eb="110">
      <t>ユウドウ</t>
    </rPh>
    <rPh sb="111" eb="112">
      <t>メイ</t>
    </rPh>
    <rPh sb="118" eb="120">
      <t>キタハラ</t>
    </rPh>
    <rPh sb="121" eb="123">
      <t>ナフダ</t>
    </rPh>
    <rPh sb="125" eb="126">
      <t>メイ</t>
    </rPh>
    <rPh sb="135" eb="137">
      <t>フクダ</t>
    </rPh>
    <rPh sb="141" eb="144">
      <t>ガクリンドウ</t>
    </rPh>
    <rPh sb="145" eb="147">
      <t>ナフダ</t>
    </rPh>
    <rPh sb="148" eb="149">
      <t>メイ</t>
    </rPh>
    <rPh sb="150" eb="152">
      <t>アサト</t>
    </rPh>
    <rPh sb="153" eb="155">
      <t>サイトウ</t>
    </rPh>
    <rPh sb="157" eb="159">
      <t>ユウドウ</t>
    </rPh>
    <rPh sb="160" eb="161">
      <t>メイ</t>
    </rPh>
    <rPh sb="162" eb="164">
      <t>モリモト</t>
    </rPh>
    <rPh sb="165" eb="167">
      <t>イワノ</t>
    </rPh>
    <rPh sb="190" eb="192">
      <t>ユウグン</t>
    </rPh>
    <rPh sb="193" eb="194">
      <t>メイ</t>
    </rPh>
    <rPh sb="195" eb="197">
      <t>ヨシイ</t>
    </rPh>
    <rPh sb="202" eb="204">
      <t>カイダン</t>
    </rPh>
    <rPh sb="205" eb="207">
      <t>ユウドウ</t>
    </rPh>
    <rPh sb="208" eb="212">
      <t>ガクリンドウオヨ</t>
    </rPh>
    <rPh sb="220" eb="221">
      <t>メイ</t>
    </rPh>
    <rPh sb="222" eb="224">
      <t>ニイサカ</t>
    </rPh>
    <rPh sb="225" eb="227">
      <t>ヤマサキ</t>
    </rPh>
    <rPh sb="228" eb="230">
      <t>エハラ</t>
    </rPh>
    <rPh sb="236" eb="238">
      <t>ユウグン</t>
    </rPh>
    <rPh sb="239" eb="240">
      <t>メイ</t>
    </rPh>
    <rPh sb="241" eb="243">
      <t>ムライ</t>
    </rPh>
    <phoneticPr fontId="4"/>
  </si>
  <si>
    <t>2025/9/5版</t>
    <rPh sb="8" eb="9">
      <t>バン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</si>
</sst>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63">
    <font>
      <sz val="11"/>
      <name val="ＭＳ Ｐゴシック"/>
      <charset val="128"/>
    </font>
    <font>
      <b/>
      <sz val="11"/>
      <name val="ＭＳ Ｐゴシック"/>
      <family val="3"/>
      <charset val="128"/>
    </font>
    <font>
      <b/>
      <i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b/>
      <sz val="12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2"/>
      <charset val="128"/>
    </font>
    <font>
      <sz val="10"/>
      <color indexed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30"/>
      <name val="ＭＳ Ｐゴシック"/>
      <family val="3"/>
      <charset val="128"/>
    </font>
    <font>
      <sz val="10"/>
      <color indexed="57"/>
      <name val="ＭＳ Ｐゴシック"/>
      <family val="3"/>
      <charset val="128"/>
    </font>
    <font>
      <sz val="10"/>
      <color indexed="48"/>
      <name val="ＭＳ Ｐゴシック"/>
      <family val="3"/>
      <charset val="128"/>
    </font>
    <font>
      <sz val="10"/>
      <color indexed="33"/>
      <name val="ＭＳ Ｐゴシック"/>
      <family val="3"/>
      <charset val="128"/>
    </font>
    <font>
      <sz val="10"/>
      <color indexed="14"/>
      <name val="ＭＳ Ｐゴシック"/>
      <family val="3"/>
      <charset val="128"/>
    </font>
    <font>
      <b/>
      <i/>
      <sz val="11"/>
      <color indexed="10"/>
      <name val="ＭＳ Ｐゴシック"/>
      <family val="3"/>
      <charset val="128"/>
    </font>
    <font>
      <sz val="9.5"/>
      <color indexed="10"/>
      <name val="ＭＳ Ｐゴシック"/>
      <family val="3"/>
      <charset val="128"/>
    </font>
    <font>
      <i/>
      <sz val="10"/>
      <color indexed="12"/>
      <name val="ＭＳ Ｐゴシック"/>
      <family val="3"/>
      <charset val="128"/>
    </font>
    <font>
      <sz val="10"/>
      <color indexed="39"/>
      <name val="ＭＳ Ｐゴシック"/>
      <family val="3"/>
      <charset val="128"/>
    </font>
    <font>
      <i/>
      <sz val="10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10"/>
      <color indexed="21"/>
      <name val="ＭＳ Ｐゴシック"/>
      <family val="3"/>
      <charset val="128"/>
    </font>
    <font>
      <sz val="10"/>
      <color indexed="4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indexed="25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14"/>
      <color rgb="FF000000"/>
      <name val="MS PGothic"/>
      <family val="3"/>
      <charset val="128"/>
    </font>
    <font>
      <b/>
      <sz val="14"/>
      <name val="ＭＳ Ｐゴシック"/>
      <family val="2"/>
      <charset val="128"/>
    </font>
    <font>
      <sz val="12"/>
      <color rgb="FFFF0000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0"/>
      <color indexed="48"/>
      <name val="ＭＳ Ｐゴシック"/>
      <family val="3"/>
      <charset val="128"/>
    </font>
    <font>
      <sz val="14"/>
      <color rgb="FF00B05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b/>
      <sz val="10"/>
      <color rgb="FFFF0000"/>
      <name val="ＭＳ Ｐゴシック"/>
      <family val="3"/>
      <charset val="128"/>
    </font>
    <font>
      <sz val="10"/>
      <color indexed="57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name val="Osaka"/>
      <family val="3"/>
      <charset val="128"/>
    </font>
    <font>
      <sz val="14"/>
      <name val="BIZ UDP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BIZ UDPゴシック"/>
      <family val="3"/>
      <charset val="128"/>
    </font>
    <font>
      <sz val="10"/>
      <color indexed="8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b/>
      <sz val="11"/>
      <name val="BIZ UDPゴシック"/>
      <family val="3"/>
      <charset val="128"/>
    </font>
    <font>
      <b/>
      <sz val="10"/>
      <name val="BIZ UDPゴシック"/>
      <family val="3"/>
      <charset val="128"/>
    </font>
    <font>
      <sz val="10"/>
      <color indexed="12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0"/>
      <color indexed="48"/>
      <name val="BIZ UDPゴシック"/>
      <family val="3"/>
      <charset val="128"/>
    </font>
    <font>
      <sz val="10"/>
      <color indexed="33"/>
      <name val="BIZ UDPゴシック"/>
      <family val="3"/>
      <charset val="128"/>
    </font>
    <font>
      <b/>
      <sz val="10"/>
      <color rgb="FFFF0000"/>
      <name val="BIZ UDPゴシック"/>
      <family val="3"/>
      <charset val="128"/>
    </font>
    <font>
      <sz val="10"/>
      <color indexed="49"/>
      <name val="BIZ UDPゴシック"/>
      <family val="3"/>
      <charset val="128"/>
    </font>
    <font>
      <sz val="14"/>
      <color rgb="FF0070C0"/>
      <name val="ＭＳ Ｐゴシック"/>
      <family val="3"/>
      <charset val="128"/>
    </font>
    <font>
      <sz val="10"/>
      <color rgb="FF00B050"/>
      <name val="BIZ UDPゴシック"/>
      <family val="3"/>
      <charset val="128"/>
    </font>
    <font>
      <sz val="11"/>
      <name val="ＭＳ ゴシック"/>
      <family val="2"/>
      <charset val="128"/>
    </font>
    <font>
      <sz val="6"/>
      <name val="ＭＳ Ｐゴシック"/>
      <family val="2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2CDDC"/>
        <bgColor rgb="FF92CDDC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61" fillId="0" borderId="0"/>
  </cellStyleXfs>
  <cellXfs count="235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6" fillId="2" borderId="1" xfId="1" applyNumberFormat="1" applyFont="1" applyFill="1" applyBorder="1" applyAlignment="1">
      <alignment vertical="center"/>
    </xf>
    <xf numFmtId="49" fontId="6" fillId="2" borderId="1" xfId="1" applyNumberFormat="1" applyFont="1" applyFill="1" applyBorder="1" applyAlignment="1">
      <alignment vertical="center" wrapText="1"/>
    </xf>
    <xf numFmtId="49" fontId="7" fillId="3" borderId="2" xfId="1" applyNumberFormat="1" applyFont="1" applyFill="1" applyBorder="1" applyAlignment="1">
      <alignment horizontal="center" vertical="center" wrapText="1" shrinkToFit="1"/>
    </xf>
    <xf numFmtId="49" fontId="7" fillId="3" borderId="3" xfId="1" applyNumberFormat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49" fontId="7" fillId="4" borderId="6" xfId="1" applyNumberFormat="1" applyFont="1" applyFill="1" applyBorder="1" applyAlignment="1">
      <alignment horizontal="center" vertical="center" wrapText="1" shrinkToFit="1"/>
    </xf>
    <xf numFmtId="49" fontId="7" fillId="4" borderId="7" xfId="1" applyNumberFormat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7" fillId="4" borderId="9" xfId="1" applyFont="1" applyFill="1" applyBorder="1" applyAlignment="1">
      <alignment vertical="center" wrapText="1"/>
    </xf>
    <xf numFmtId="0" fontId="7" fillId="4" borderId="10" xfId="1" applyFont="1" applyFill="1" applyBorder="1" applyAlignment="1">
      <alignment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49" fontId="7" fillId="4" borderId="13" xfId="1" applyNumberFormat="1" applyFont="1" applyFill="1" applyBorder="1" applyAlignment="1">
      <alignment horizontal="center" vertical="center" wrapText="1" shrinkToFit="1"/>
    </xf>
    <xf numFmtId="49" fontId="7" fillId="4" borderId="14" xfId="1" applyNumberFormat="1" applyFont="1" applyFill="1" applyBorder="1" applyAlignment="1">
      <alignment horizontal="center" vertical="center" wrapText="1"/>
    </xf>
    <xf numFmtId="0" fontId="7" fillId="4" borderId="15" xfId="1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49" fontId="7" fillId="5" borderId="16" xfId="1" applyNumberFormat="1" applyFont="1" applyFill="1" applyBorder="1" applyAlignment="1">
      <alignment horizontal="center" vertical="center" wrapText="1"/>
    </xf>
    <xf numFmtId="176" fontId="7" fillId="5" borderId="17" xfId="1" applyNumberFormat="1" applyFont="1" applyFill="1" applyBorder="1" applyAlignment="1">
      <alignment horizontal="center" vertical="center" wrapText="1"/>
    </xf>
    <xf numFmtId="0" fontId="7" fillId="5" borderId="18" xfId="1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49" fontId="7" fillId="0" borderId="16" xfId="1" applyNumberFormat="1" applyFont="1" applyBorder="1" applyAlignment="1">
      <alignment horizontal="center" vertical="center" wrapText="1"/>
    </xf>
    <xf numFmtId="176" fontId="7" fillId="0" borderId="18" xfId="1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9" fillId="0" borderId="10" xfId="1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49" fontId="7" fillId="0" borderId="22" xfId="1" applyNumberFormat="1" applyFont="1" applyBorder="1" applyAlignment="1">
      <alignment horizontal="center" vertical="center" wrapText="1"/>
    </xf>
    <xf numFmtId="176" fontId="7" fillId="0" borderId="9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9" fillId="0" borderId="23" xfId="1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49" fontId="7" fillId="5" borderId="24" xfId="1" applyNumberFormat="1" applyFont="1" applyFill="1" applyBorder="1" applyAlignment="1">
      <alignment horizontal="center" vertical="center" wrapText="1"/>
    </xf>
    <xf numFmtId="49" fontId="7" fillId="5" borderId="17" xfId="1" applyNumberFormat="1" applyFont="1" applyFill="1" applyBorder="1" applyAlignment="1">
      <alignment horizontal="center" vertical="center" wrapText="1"/>
    </xf>
    <xf numFmtId="0" fontId="7" fillId="5" borderId="17" xfId="1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27" xfId="0" applyFont="1" applyFill="1" applyBorder="1" applyAlignment="1">
      <alignment horizontal="center" vertical="center" wrapText="1"/>
    </xf>
    <xf numFmtId="49" fontId="7" fillId="6" borderId="16" xfId="1" applyNumberFormat="1" applyFont="1" applyFill="1" applyBorder="1" applyAlignment="1">
      <alignment horizontal="center" vertical="center" wrapText="1"/>
    </xf>
    <xf numFmtId="49" fontId="7" fillId="2" borderId="17" xfId="1" applyNumberFormat="1" applyFont="1" applyFill="1" applyBorder="1" applyAlignment="1">
      <alignment horizontal="center" vertical="center" wrapText="1"/>
    </xf>
    <xf numFmtId="0" fontId="7" fillId="7" borderId="17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49" fontId="7" fillId="6" borderId="24" xfId="1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49" fontId="7" fillId="0" borderId="17" xfId="1" applyNumberFormat="1" applyFont="1" applyBorder="1" applyAlignment="1">
      <alignment horizontal="center" vertical="center" wrapText="1"/>
    </xf>
    <xf numFmtId="0" fontId="7" fillId="6" borderId="24" xfId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left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0" fontId="7" fillId="7" borderId="17" xfId="1" applyNumberFormat="1" applyFont="1" applyFill="1" applyBorder="1" applyAlignment="1">
      <alignment horizontal="center" vertical="center" wrapText="1"/>
    </xf>
    <xf numFmtId="0" fontId="21" fillId="2" borderId="17" xfId="1" applyFont="1" applyFill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 wrapText="1"/>
    </xf>
    <xf numFmtId="20" fontId="7" fillId="0" borderId="17" xfId="1" applyNumberFormat="1" applyFont="1" applyBorder="1" applyAlignment="1">
      <alignment horizontal="center" vertical="center" wrapText="1"/>
    </xf>
    <xf numFmtId="0" fontId="18" fillId="2" borderId="17" xfId="1" applyFont="1" applyFill="1" applyBorder="1" applyAlignment="1">
      <alignment horizontal="left" vertical="center" wrapText="1"/>
    </xf>
    <xf numFmtId="0" fontId="13" fillId="2" borderId="17" xfId="1" applyFont="1" applyFill="1" applyBorder="1" applyAlignment="1">
      <alignment horizontal="left" vertical="center" wrapText="1"/>
    </xf>
    <xf numFmtId="0" fontId="23" fillId="2" borderId="17" xfId="1" applyFont="1" applyFill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 wrapText="1"/>
    </xf>
    <xf numFmtId="0" fontId="7" fillId="6" borderId="28" xfId="1" applyFont="1" applyFill="1" applyBorder="1" applyAlignment="1">
      <alignment horizontal="center" vertical="center" wrapText="1"/>
    </xf>
    <xf numFmtId="49" fontId="7" fillId="2" borderId="29" xfId="1" applyNumberFormat="1" applyFont="1" applyFill="1" applyBorder="1" applyAlignment="1">
      <alignment horizontal="center" vertical="center" wrapText="1"/>
    </xf>
    <xf numFmtId="0" fontId="7" fillId="7" borderId="29" xfId="1" applyFont="1" applyFill="1" applyBorder="1" applyAlignment="1">
      <alignment horizontal="center" vertical="center" wrapText="1"/>
    </xf>
    <xf numFmtId="0" fontId="26" fillId="2" borderId="29" xfId="1" applyFont="1" applyFill="1" applyBorder="1" applyAlignment="1">
      <alignment horizontal="left" vertical="center" wrapText="1"/>
    </xf>
    <xf numFmtId="0" fontId="9" fillId="0" borderId="3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20" fontId="31" fillId="0" borderId="31" xfId="0" applyNumberFormat="1" applyFont="1" applyBorder="1" applyAlignment="1">
      <alignment horizontal="center" vertical="center"/>
    </xf>
    <xf numFmtId="0" fontId="32" fillId="7" borderId="17" xfId="1" applyFont="1" applyFill="1" applyBorder="1" applyAlignment="1">
      <alignment horizontal="center" vertical="center" wrapText="1"/>
    </xf>
    <xf numFmtId="20" fontId="31" fillId="8" borderId="31" xfId="0" applyNumberFormat="1" applyFont="1" applyFill="1" applyBorder="1" applyAlignment="1">
      <alignment horizontal="center" vertical="center"/>
    </xf>
    <xf numFmtId="20" fontId="31" fillId="9" borderId="31" xfId="0" applyNumberFormat="1" applyFont="1" applyFill="1" applyBorder="1" applyAlignment="1">
      <alignment horizontal="center" vertical="center"/>
    </xf>
    <xf numFmtId="20" fontId="31" fillId="10" borderId="31" xfId="0" applyNumberFormat="1" applyFont="1" applyFill="1" applyBorder="1" applyAlignment="1">
      <alignment horizontal="center" vertical="center"/>
    </xf>
    <xf numFmtId="0" fontId="31" fillId="8" borderId="31" xfId="0" applyFont="1" applyFill="1" applyBorder="1" applyAlignment="1">
      <alignment horizontal="left" vertical="center"/>
    </xf>
    <xf numFmtId="0" fontId="31" fillId="0" borderId="31" xfId="0" applyFont="1" applyBorder="1" applyAlignment="1">
      <alignment horizontal="left" vertical="center"/>
    </xf>
    <xf numFmtId="0" fontId="31" fillId="8" borderId="31" xfId="0" applyFont="1" applyFill="1" applyBorder="1" applyAlignment="1">
      <alignment vertical="center" wrapText="1"/>
    </xf>
    <xf numFmtId="0" fontId="31" fillId="0" borderId="31" xfId="0" applyFont="1" applyBorder="1" applyAlignment="1">
      <alignment vertical="center" wrapText="1"/>
    </xf>
    <xf numFmtId="0" fontId="31" fillId="0" borderId="32" xfId="0" applyFont="1" applyBorder="1" applyAlignment="1">
      <alignment vertical="center" wrapText="1"/>
    </xf>
    <xf numFmtId="0" fontId="31" fillId="0" borderId="33" xfId="0" applyFont="1" applyBorder="1" applyAlignment="1">
      <alignment vertical="center" wrapText="1"/>
    </xf>
    <xf numFmtId="0" fontId="31" fillId="9" borderId="31" xfId="0" applyFont="1" applyFill="1" applyBorder="1" applyAlignment="1">
      <alignment vertical="center" wrapText="1"/>
    </xf>
    <xf numFmtId="0" fontId="31" fillId="10" borderId="31" xfId="0" applyFont="1" applyFill="1" applyBorder="1" applyAlignment="1">
      <alignment vertical="center" wrapText="1"/>
    </xf>
    <xf numFmtId="0" fontId="31" fillId="0" borderId="34" xfId="0" applyFont="1" applyBorder="1" applyAlignment="1">
      <alignment vertical="center" wrapText="1"/>
    </xf>
    <xf numFmtId="0" fontId="31" fillId="8" borderId="34" xfId="0" applyFont="1" applyFill="1" applyBorder="1" applyAlignment="1">
      <alignment vertical="center" wrapText="1"/>
    </xf>
    <xf numFmtId="0" fontId="31" fillId="10" borderId="34" xfId="0" applyFont="1" applyFill="1" applyBorder="1" applyAlignment="1">
      <alignment vertical="center" wrapText="1"/>
    </xf>
    <xf numFmtId="0" fontId="31" fillId="8" borderId="34" xfId="0" applyFont="1" applyFill="1" applyBorder="1" applyAlignment="1">
      <alignment vertical="center"/>
    </xf>
    <xf numFmtId="0" fontId="31" fillId="9" borderId="34" xfId="0" applyFont="1" applyFill="1" applyBorder="1" applyAlignment="1">
      <alignment vertical="center" wrapText="1"/>
    </xf>
    <xf numFmtId="0" fontId="26" fillId="2" borderId="37" xfId="1" applyFont="1" applyFill="1" applyBorder="1" applyAlignment="1">
      <alignment horizontal="left" vertical="center" wrapText="1"/>
    </xf>
    <xf numFmtId="0" fontId="26" fillId="2" borderId="17" xfId="1" applyFont="1" applyFill="1" applyBorder="1" applyAlignment="1">
      <alignment horizontal="left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11" borderId="12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top" wrapText="1"/>
    </xf>
    <xf numFmtId="0" fontId="34" fillId="0" borderId="0" xfId="0" applyFont="1" applyAlignment="1">
      <alignment vertical="top" wrapText="1"/>
    </xf>
    <xf numFmtId="0" fontId="17" fillId="11" borderId="11" xfId="0" applyFont="1" applyFill="1" applyBorder="1" applyAlignment="1">
      <alignment horizontal="center" vertical="center" wrapText="1"/>
    </xf>
    <xf numFmtId="0" fontId="35" fillId="11" borderId="11" xfId="0" applyFont="1" applyFill="1" applyBorder="1" applyAlignment="1">
      <alignment horizontal="center" vertical="center" wrapText="1"/>
    </xf>
    <xf numFmtId="0" fontId="11" fillId="11" borderId="1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9" fillId="11" borderId="17" xfId="0" applyFont="1" applyFill="1" applyBorder="1" applyAlignment="1">
      <alignment horizontal="center" vertical="center" wrapText="1"/>
    </xf>
    <xf numFmtId="0" fontId="9" fillId="11" borderId="38" xfId="0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20" fontId="31" fillId="8" borderId="33" xfId="0" applyNumberFormat="1" applyFont="1" applyFill="1" applyBorder="1" applyAlignment="1">
      <alignment horizontal="center" vertical="center"/>
    </xf>
    <xf numFmtId="0" fontId="31" fillId="8" borderId="39" xfId="0" applyFont="1" applyFill="1" applyBorder="1" applyAlignment="1">
      <alignment vertical="center"/>
    </xf>
    <xf numFmtId="0" fontId="26" fillId="2" borderId="40" xfId="1" applyFont="1" applyFill="1" applyBorder="1" applyAlignment="1">
      <alignment horizontal="left" vertical="center" wrapText="1"/>
    </xf>
    <xf numFmtId="0" fontId="9" fillId="11" borderId="40" xfId="0" applyFont="1" applyFill="1" applyBorder="1" applyAlignment="1">
      <alignment horizontal="center" vertical="center" wrapText="1"/>
    </xf>
    <xf numFmtId="20" fontId="31" fillId="0" borderId="41" xfId="0" applyNumberFormat="1" applyFont="1" applyBorder="1" applyAlignment="1">
      <alignment horizontal="center" vertical="center"/>
    </xf>
    <xf numFmtId="20" fontId="31" fillId="0" borderId="42" xfId="0" applyNumberFormat="1" applyFont="1" applyBorder="1" applyAlignment="1">
      <alignment horizontal="center" vertical="center"/>
    </xf>
    <xf numFmtId="0" fontId="31" fillId="0" borderId="43" xfId="0" applyFont="1" applyBorder="1" applyAlignment="1">
      <alignment vertical="center" wrapText="1"/>
    </xf>
    <xf numFmtId="0" fontId="9" fillId="11" borderId="29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top" wrapText="1"/>
    </xf>
    <xf numFmtId="0" fontId="36" fillId="0" borderId="0" xfId="0" applyFont="1" applyAlignment="1">
      <alignment vertical="top" wrapText="1"/>
    </xf>
    <xf numFmtId="0" fontId="38" fillId="2" borderId="17" xfId="1" applyFont="1" applyFill="1" applyBorder="1" applyAlignment="1">
      <alignment horizontal="center" vertical="center" wrapText="1"/>
    </xf>
    <xf numFmtId="0" fontId="30" fillId="12" borderId="5" xfId="0" applyFont="1" applyFill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13" borderId="38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38" fillId="13" borderId="17" xfId="1" applyFont="1" applyFill="1" applyBorder="1" applyAlignment="1">
      <alignment horizontal="center" vertical="center" wrapText="1"/>
    </xf>
    <xf numFmtId="0" fontId="42" fillId="0" borderId="10" xfId="1" applyFont="1" applyBorder="1" applyAlignment="1">
      <alignment vertical="center" wrapText="1"/>
    </xf>
    <xf numFmtId="0" fontId="43" fillId="0" borderId="0" xfId="0" applyFont="1" applyAlignment="1">
      <alignment horizontal="center" vertical="center" wrapText="1"/>
    </xf>
    <xf numFmtId="0" fontId="30" fillId="14" borderId="5" xfId="0" applyFont="1" applyFill="1" applyBorder="1" applyAlignment="1">
      <alignment horizontal="center" vertical="center" wrapText="1"/>
    </xf>
    <xf numFmtId="0" fontId="30" fillId="15" borderId="5" xfId="0" applyFont="1" applyFill="1" applyBorder="1" applyAlignment="1">
      <alignment horizontal="center" vertical="center" wrapText="1"/>
    </xf>
    <xf numFmtId="0" fontId="40" fillId="16" borderId="11" xfId="0" applyFont="1" applyFill="1" applyBorder="1" applyAlignment="1">
      <alignment horizontal="center" vertical="center" wrapText="1"/>
    </xf>
    <xf numFmtId="0" fontId="37" fillId="16" borderId="17" xfId="0" applyFont="1" applyFill="1" applyBorder="1" applyAlignment="1">
      <alignment horizontal="center" vertical="center" wrapText="1"/>
    </xf>
    <xf numFmtId="0" fontId="40" fillId="16" borderId="17" xfId="0" applyFont="1" applyFill="1" applyBorder="1" applyAlignment="1">
      <alignment horizontal="center" vertical="center" wrapText="1"/>
    </xf>
    <xf numFmtId="0" fontId="34" fillId="14" borderId="0" xfId="0" applyFont="1" applyFill="1" applyAlignment="1">
      <alignment vertical="top" wrapText="1"/>
    </xf>
    <xf numFmtId="0" fontId="9" fillId="14" borderId="17" xfId="0" applyFont="1" applyFill="1" applyBorder="1" applyAlignment="1">
      <alignment horizontal="center" vertical="center" wrapText="1"/>
    </xf>
    <xf numFmtId="0" fontId="1" fillId="5" borderId="10" xfId="1" applyFont="1" applyFill="1" applyBorder="1" applyAlignment="1">
      <alignment vertical="center" wrapText="1"/>
    </xf>
    <xf numFmtId="0" fontId="1" fillId="5" borderId="20" xfId="1" applyFont="1" applyFill="1" applyBorder="1" applyAlignment="1">
      <alignment vertical="center" wrapText="1"/>
    </xf>
    <xf numFmtId="0" fontId="1" fillId="0" borderId="10" xfId="1" applyFont="1" applyBorder="1" applyAlignment="1">
      <alignment vertical="center" wrapText="1"/>
    </xf>
    <xf numFmtId="0" fontId="1" fillId="5" borderId="23" xfId="1" applyFont="1" applyFill="1" applyBorder="1" applyAlignment="1">
      <alignment horizontal="left" vertical="center" wrapText="1"/>
    </xf>
    <xf numFmtId="0" fontId="1" fillId="5" borderId="10" xfId="1" applyFont="1" applyFill="1" applyBorder="1" applyAlignment="1">
      <alignment horizontal="left" vertical="center" wrapText="1"/>
    </xf>
    <xf numFmtId="0" fontId="1" fillId="5" borderId="26" xfId="1" applyFont="1" applyFill="1" applyBorder="1" applyAlignment="1">
      <alignment horizontal="left" vertical="center" wrapText="1"/>
    </xf>
    <xf numFmtId="0" fontId="1" fillId="2" borderId="17" xfId="1" applyFont="1" applyFill="1" applyBorder="1" applyAlignment="1">
      <alignment horizontal="left" vertical="center" wrapText="1"/>
    </xf>
    <xf numFmtId="0" fontId="1" fillId="6" borderId="17" xfId="1" applyFont="1" applyFill="1" applyBorder="1" applyAlignment="1">
      <alignment horizontal="left" vertical="center" wrapText="1"/>
    </xf>
    <xf numFmtId="0" fontId="1" fillId="4" borderId="17" xfId="1" applyFont="1" applyFill="1" applyBorder="1" applyAlignment="1">
      <alignment horizontal="left" vertical="center" wrapText="1"/>
    </xf>
    <xf numFmtId="0" fontId="1" fillId="0" borderId="17" xfId="1" applyFont="1" applyBorder="1" applyAlignment="1">
      <alignment horizontal="left" vertical="center" wrapText="1"/>
    </xf>
    <xf numFmtId="0" fontId="1" fillId="2" borderId="29" xfId="1" applyFont="1" applyFill="1" applyBorder="1" applyAlignment="1">
      <alignment horizontal="left" vertical="center" wrapText="1"/>
    </xf>
    <xf numFmtId="0" fontId="44" fillId="13" borderId="11" xfId="0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20" fontId="46" fillId="14" borderId="17" xfId="8" applyNumberFormat="1" applyFont="1" applyFill="1" applyBorder="1" applyAlignment="1">
      <alignment vertical="center"/>
    </xf>
    <xf numFmtId="176" fontId="46" fillId="14" borderId="17" xfId="8" applyNumberFormat="1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/>
    </xf>
    <xf numFmtId="20" fontId="46" fillId="0" borderId="17" xfId="8" applyNumberFormat="1" applyFont="1" applyBorder="1" applyAlignment="1">
      <alignment vertical="center"/>
    </xf>
    <xf numFmtId="176" fontId="46" fillId="0" borderId="17" xfId="8" applyNumberFormat="1" applyFont="1" applyBorder="1" applyAlignment="1">
      <alignment horizontal="center" vertical="center"/>
    </xf>
    <xf numFmtId="0" fontId="46" fillId="0" borderId="17" xfId="8" applyFont="1" applyBorder="1" applyAlignment="1">
      <alignment vertical="center" wrapText="1"/>
    </xf>
    <xf numFmtId="0" fontId="46" fillId="0" borderId="17" xfId="8" applyFont="1" applyBorder="1" applyAlignment="1">
      <alignment horizontal="left" vertical="center"/>
    </xf>
    <xf numFmtId="0" fontId="46" fillId="14" borderId="17" xfId="8" applyFont="1" applyFill="1" applyBorder="1" applyAlignment="1">
      <alignment vertical="center" wrapText="1"/>
    </xf>
    <xf numFmtId="0" fontId="46" fillId="17" borderId="17" xfId="8" applyFont="1" applyFill="1" applyBorder="1" applyAlignment="1">
      <alignment horizontal="left" vertical="center"/>
    </xf>
    <xf numFmtId="20" fontId="46" fillId="17" borderId="17" xfId="8" applyNumberFormat="1" applyFont="1" applyFill="1" applyBorder="1" applyAlignment="1">
      <alignment vertical="center"/>
    </xf>
    <xf numFmtId="176" fontId="46" fillId="17" borderId="17" xfId="8" applyNumberFormat="1" applyFont="1" applyFill="1" applyBorder="1" applyAlignment="1">
      <alignment horizontal="center" vertical="center"/>
    </xf>
    <xf numFmtId="0" fontId="46" fillId="17" borderId="17" xfId="8" applyFont="1" applyFill="1" applyBorder="1" applyAlignment="1">
      <alignment vertical="center" wrapText="1"/>
    </xf>
    <xf numFmtId="0" fontId="48" fillId="0" borderId="10" xfId="1" applyFont="1" applyBorder="1" applyAlignment="1">
      <alignment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11" borderId="11" xfId="0" applyFont="1" applyFill="1" applyBorder="1" applyAlignment="1">
      <alignment horizontal="center" vertical="center" wrapText="1"/>
    </xf>
    <xf numFmtId="0" fontId="50" fillId="16" borderId="17" xfId="0" applyFont="1" applyFill="1" applyBorder="1" applyAlignment="1">
      <alignment horizontal="center" vertical="center" wrapText="1"/>
    </xf>
    <xf numFmtId="0" fontId="48" fillId="0" borderId="23" xfId="1" applyFont="1" applyBorder="1" applyAlignment="1">
      <alignment vertical="center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3" borderId="11" xfId="0" applyFont="1" applyFill="1" applyBorder="1" applyAlignment="1">
      <alignment horizontal="center" vertical="center" wrapText="1"/>
    </xf>
    <xf numFmtId="0" fontId="51" fillId="5" borderId="23" xfId="1" applyFont="1" applyFill="1" applyBorder="1" applyAlignment="1">
      <alignment horizontal="left" vertical="center" wrapText="1"/>
    </xf>
    <xf numFmtId="0" fontId="49" fillId="5" borderId="12" xfId="0" applyFont="1" applyFill="1" applyBorder="1" applyAlignment="1">
      <alignment horizontal="center" vertical="center" wrapText="1"/>
    </xf>
    <xf numFmtId="0" fontId="49" fillId="5" borderId="25" xfId="0" applyFont="1" applyFill="1" applyBorder="1" applyAlignment="1">
      <alignment horizontal="center" vertical="center" wrapText="1"/>
    </xf>
    <xf numFmtId="0" fontId="51" fillId="5" borderId="26" xfId="1" applyFont="1" applyFill="1" applyBorder="1" applyAlignment="1">
      <alignment horizontal="left" vertical="center" wrapText="1"/>
    </xf>
    <xf numFmtId="0" fontId="49" fillId="5" borderId="11" xfId="0" applyFont="1" applyFill="1" applyBorder="1" applyAlignment="1">
      <alignment horizontal="center" vertical="center" wrapText="1"/>
    </xf>
    <xf numFmtId="0" fontId="49" fillId="5" borderId="27" xfId="0" applyFont="1" applyFill="1" applyBorder="1" applyAlignment="1">
      <alignment horizontal="center" vertical="center" wrapText="1"/>
    </xf>
    <xf numFmtId="0" fontId="52" fillId="3" borderId="4" xfId="1" applyFont="1" applyFill="1" applyBorder="1" applyAlignment="1">
      <alignment horizontal="center" vertical="center" wrapText="1"/>
    </xf>
    <xf numFmtId="0" fontId="48" fillId="15" borderId="5" xfId="0" applyFont="1" applyFill="1" applyBorder="1" applyAlignment="1">
      <alignment horizontal="center" vertical="center" wrapText="1"/>
    </xf>
    <xf numFmtId="0" fontId="48" fillId="2" borderId="17" xfId="1" applyFont="1" applyFill="1" applyBorder="1" applyAlignment="1">
      <alignment horizontal="left" vertical="center" wrapText="1"/>
    </xf>
    <xf numFmtId="0" fontId="53" fillId="11" borderId="11" xfId="0" applyFont="1" applyFill="1" applyBorder="1" applyAlignment="1">
      <alignment horizontal="center" vertical="center" wrapText="1"/>
    </xf>
    <xf numFmtId="0" fontId="54" fillId="13" borderId="11" xfId="0" applyFont="1" applyFill="1" applyBorder="1" applyAlignment="1">
      <alignment horizontal="center" vertical="center" wrapText="1"/>
    </xf>
    <xf numFmtId="0" fontId="55" fillId="0" borderId="11" xfId="0" applyFont="1" applyBorder="1" applyAlignment="1">
      <alignment horizontal="center" vertical="center" wrapText="1"/>
    </xf>
    <xf numFmtId="0" fontId="56" fillId="11" borderId="11" xfId="0" applyFont="1" applyFill="1" applyBorder="1" applyAlignment="1">
      <alignment horizontal="center" vertical="center" wrapText="1"/>
    </xf>
    <xf numFmtId="0" fontId="50" fillId="16" borderId="11" xfId="0" applyFont="1" applyFill="1" applyBorder="1" applyAlignment="1">
      <alignment horizontal="center" vertical="center" wrapText="1"/>
    </xf>
    <xf numFmtId="0" fontId="48" fillId="17" borderId="17" xfId="0" applyFont="1" applyFill="1" applyBorder="1" applyAlignment="1">
      <alignment horizontal="center" vertical="center" wrapText="1"/>
    </xf>
    <xf numFmtId="0" fontId="57" fillId="17" borderId="17" xfId="1" applyFont="1" applyFill="1" applyBorder="1" applyAlignment="1">
      <alignment horizontal="center" vertical="center" wrapText="1"/>
    </xf>
    <xf numFmtId="0" fontId="55" fillId="17" borderId="17" xfId="0" applyFont="1" applyFill="1" applyBorder="1" applyAlignment="1">
      <alignment horizontal="center" vertical="center" wrapText="1"/>
    </xf>
    <xf numFmtId="0" fontId="56" fillId="17" borderId="17" xfId="0" applyFont="1" applyFill="1" applyBorder="1" applyAlignment="1">
      <alignment horizontal="center" vertical="center" wrapText="1"/>
    </xf>
    <xf numFmtId="0" fontId="48" fillId="11" borderId="40" xfId="0" applyFont="1" applyFill="1" applyBorder="1" applyAlignment="1">
      <alignment horizontal="center" vertical="center" wrapText="1"/>
    </xf>
    <xf numFmtId="0" fontId="58" fillId="2" borderId="17" xfId="1" applyFont="1" applyFill="1" applyBorder="1" applyAlignment="1">
      <alignment horizontal="left" vertical="center" wrapText="1"/>
    </xf>
    <xf numFmtId="0" fontId="48" fillId="11" borderId="17" xfId="0" applyFont="1" applyFill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0" fontId="48" fillId="13" borderId="38" xfId="0" applyFont="1" applyFill="1" applyBorder="1" applyAlignment="1">
      <alignment horizontal="center" vertical="center" wrapText="1"/>
    </xf>
    <xf numFmtId="0" fontId="48" fillId="17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45" xfId="0" applyBorder="1" applyAlignment="1">
      <alignment vertical="center" wrapText="1"/>
    </xf>
    <xf numFmtId="0" fontId="43" fillId="0" borderId="46" xfId="0" applyFont="1" applyBorder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 wrapText="1"/>
    </xf>
    <xf numFmtId="0" fontId="30" fillId="19" borderId="5" xfId="0" applyFont="1" applyFill="1" applyBorder="1" applyAlignment="1">
      <alignment horizontal="center" vertical="center" wrapText="1"/>
    </xf>
    <xf numFmtId="0" fontId="48" fillId="19" borderId="5" xfId="0" applyFont="1" applyFill="1" applyBorder="1" applyAlignment="1">
      <alignment horizontal="center" vertical="center" wrapText="1"/>
    </xf>
    <xf numFmtId="0" fontId="48" fillId="18" borderId="5" xfId="0" applyFont="1" applyFill="1" applyBorder="1" applyAlignment="1">
      <alignment horizontal="center" vertical="center" wrapText="1"/>
    </xf>
    <xf numFmtId="0" fontId="56" fillId="0" borderId="17" xfId="0" applyFont="1" applyBorder="1" applyAlignment="1">
      <alignment horizontal="center" vertical="center" wrapText="1"/>
    </xf>
    <xf numFmtId="0" fontId="60" fillId="13" borderId="11" xfId="0" applyFont="1" applyFill="1" applyBorder="1" applyAlignment="1">
      <alignment horizontal="center" vertical="center" wrapText="1"/>
    </xf>
    <xf numFmtId="0" fontId="60" fillId="0" borderId="17" xfId="0" applyFont="1" applyBorder="1" applyAlignment="1">
      <alignment horizontal="center" vertical="center" wrapText="1"/>
    </xf>
    <xf numFmtId="0" fontId="60" fillId="16" borderId="17" xfId="0" applyFont="1" applyFill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center" wrapText="1"/>
    </xf>
    <xf numFmtId="0" fontId="49" fillId="0" borderId="44" xfId="0" applyFont="1" applyBorder="1" applyAlignment="1">
      <alignment horizontal="center" vertical="center" wrapText="1"/>
    </xf>
    <xf numFmtId="0" fontId="50" fillId="17" borderId="17" xfId="0" applyFont="1" applyFill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59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49" fontId="7" fillId="0" borderId="47" xfId="1" applyNumberFormat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20" fontId="46" fillId="0" borderId="18" xfId="8" applyNumberFormat="1" applyFont="1" applyBorder="1" applyAlignment="1">
      <alignment vertical="center"/>
    </xf>
    <xf numFmtId="0" fontId="1" fillId="20" borderId="10" xfId="1" applyFont="1" applyFill="1" applyBorder="1" applyAlignment="1">
      <alignment horizontal="left" vertical="center" wrapText="1"/>
    </xf>
    <xf numFmtId="20" fontId="46" fillId="20" borderId="17" xfId="8" applyNumberFormat="1" applyFont="1" applyFill="1" applyBorder="1" applyAlignment="1">
      <alignment vertical="center"/>
    </xf>
    <xf numFmtId="0" fontId="40" fillId="4" borderId="12" xfId="0" applyFont="1" applyFill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20" fontId="31" fillId="0" borderId="35" xfId="0" applyNumberFormat="1" applyFont="1" applyBorder="1" applyAlignment="1">
      <alignment horizontal="center" vertical="center"/>
    </xf>
    <xf numFmtId="20" fontId="31" fillId="0" borderId="36" xfId="0" applyNumberFormat="1" applyFont="1" applyBorder="1" applyAlignment="1">
      <alignment horizontal="center" vertical="center"/>
    </xf>
    <xf numFmtId="20" fontId="31" fillId="0" borderId="32" xfId="0" applyNumberFormat="1" applyFont="1" applyBorder="1" applyAlignment="1">
      <alignment horizontal="center" vertical="center"/>
    </xf>
    <xf numFmtId="20" fontId="31" fillId="0" borderId="33" xfId="0" applyNumberFormat="1" applyFont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/>
    </xf>
    <xf numFmtId="176" fontId="46" fillId="0" borderId="17" xfId="0" applyNumberFormat="1" applyFont="1" applyBorder="1" applyAlignment="1">
      <alignment horizontal="center" vertical="center"/>
    </xf>
    <xf numFmtId="20" fontId="46" fillId="13" borderId="17" xfId="8" applyNumberFormat="1" applyFont="1" applyFill="1" applyBorder="1" applyAlignment="1">
      <alignment vertical="center"/>
    </xf>
    <xf numFmtId="49" fontId="46" fillId="0" borderId="17" xfId="9" applyNumberFormat="1" applyFont="1" applyBorder="1" applyAlignment="1">
      <alignment horizontal="center" vertical="center"/>
    </xf>
    <xf numFmtId="49" fontId="46" fillId="21" borderId="17" xfId="9" applyNumberFormat="1" applyFont="1" applyFill="1" applyBorder="1" applyAlignment="1">
      <alignment horizontal="center" vertical="center"/>
    </xf>
    <xf numFmtId="49" fontId="46" fillId="17" borderId="17" xfId="9" applyNumberFormat="1" applyFont="1" applyFill="1" applyBorder="1" applyAlignment="1">
      <alignment horizontal="center" vertical="center"/>
    </xf>
    <xf numFmtId="176" fontId="46" fillId="13" borderId="17" xfId="8" applyNumberFormat="1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vertical="center" wrapText="1"/>
    </xf>
  </cellXfs>
  <cellStyles count="10">
    <cellStyle name="標準" xfId="0" builtinId="0"/>
    <cellStyle name="標準 10" xfId="7" xr:uid="{00000000-0005-0000-0000-000001000000}"/>
    <cellStyle name="標準 2_39Kanmon_jikanwari_1212" xfId="1" xr:uid="{00000000-0005-0000-0000-000002000000}"/>
    <cellStyle name="標準 3" xfId="2" xr:uid="{00000000-0005-0000-0000-000003000000}"/>
    <cellStyle name="標準 6" xfId="3" xr:uid="{00000000-0005-0000-0000-000004000000}"/>
    <cellStyle name="標準 7" xfId="4" xr:uid="{00000000-0005-0000-0000-000005000000}"/>
    <cellStyle name="標準 8" xfId="5" xr:uid="{00000000-0005-0000-0000-000006000000}"/>
    <cellStyle name="標準 9" xfId="6" xr:uid="{00000000-0005-0000-0000-000007000000}"/>
    <cellStyle name="標準_◎15花入伝式0606" xfId="9" xr:uid="{20A670C9-F91C-4EB5-8BC4-1E785A9884A1}"/>
    <cellStyle name="標準_第5回入伝式staff用" xfId="8" xr:uid="{AC0B4885-4C89-473C-AEDD-3B0163C13160}"/>
  </cellStyles>
  <dxfs count="0"/>
  <tableStyles count="0" defaultTableStyle="TableStyleMedium9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268941</xdr:colOff>
      <xdr:row>15</xdr:row>
      <xdr:rowOff>168089</xdr:rowOff>
    </xdr:from>
    <xdr:to>
      <xdr:col>35</xdr:col>
      <xdr:colOff>5737412</xdr:colOff>
      <xdr:row>16</xdr:row>
      <xdr:rowOff>201705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451129-C1B8-4C9E-80B0-2BAC7299E9E0}"/>
            </a:ext>
          </a:extLst>
        </xdr:cNvPr>
        <xdr:cNvSpPr txBox="1"/>
      </xdr:nvSpPr>
      <xdr:spPr>
        <a:xfrm>
          <a:off x="26882912" y="5121089"/>
          <a:ext cx="5468471" cy="4146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313764</xdr:colOff>
      <xdr:row>5</xdr:row>
      <xdr:rowOff>56030</xdr:rowOff>
    </xdr:from>
    <xdr:to>
      <xdr:col>35</xdr:col>
      <xdr:colOff>7351058</xdr:colOff>
      <xdr:row>12</xdr:row>
      <xdr:rowOff>268941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2B10AE8-3A46-420F-A512-8DAF4D3D0144}"/>
            </a:ext>
          </a:extLst>
        </xdr:cNvPr>
        <xdr:cNvSpPr txBox="1"/>
      </xdr:nvSpPr>
      <xdr:spPr>
        <a:xfrm>
          <a:off x="27622499" y="1367118"/>
          <a:ext cx="7037294" cy="2566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延べ人数として希望は、</a:t>
          </a:r>
          <a:endParaRPr kumimoji="1" lang="en-US" altLang="ja-JP" sz="1100"/>
        </a:p>
        <a:p>
          <a:r>
            <a:rPr kumimoji="1" lang="ja-JP" altLang="en-US" sz="1100"/>
            <a:t>開場から開始までの受付時間＝</a:t>
          </a:r>
          <a:r>
            <a:rPr kumimoji="1" lang="en-US" altLang="ja-JP" sz="1100"/>
            <a:t>10</a:t>
          </a:r>
          <a:r>
            <a:rPr kumimoji="1" lang="ja-JP" altLang="en-US" sz="1100"/>
            <a:t>名程度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開始後の受付</a:t>
          </a:r>
          <a:r>
            <a:rPr kumimoji="1" lang="en-US" altLang="ja-JP" sz="1100"/>
            <a:t>2</a:t>
          </a:r>
          <a:r>
            <a:rPr kumimoji="1" lang="ja-JP" altLang="en-US" sz="1100"/>
            <a:t>名　登降壇・マイク対応</a:t>
          </a:r>
          <a:r>
            <a:rPr kumimoji="1" lang="en-US" altLang="ja-JP" sz="1100"/>
            <a:t>2</a:t>
          </a:r>
          <a:r>
            <a:rPr kumimoji="1" lang="ja-JP" altLang="en-US" sz="1100"/>
            <a:t>名～</a:t>
          </a:r>
          <a:r>
            <a:rPr kumimoji="1" lang="en-US" altLang="ja-JP" sz="1100"/>
            <a:t>3</a:t>
          </a:r>
          <a:r>
            <a:rPr kumimoji="1" lang="ja-JP" altLang="en-US" sz="1100"/>
            <a:t>名？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休憩時間　お菓子やドリンクの事前セットに１～</a:t>
          </a:r>
          <a:r>
            <a:rPr kumimoji="1" lang="en-US" altLang="ja-JP" sz="1100"/>
            <a:t>2</a:t>
          </a:r>
          <a:r>
            <a:rPr kumimoji="1" lang="ja-JP" altLang="en-US" sz="1100"/>
            <a:t>名（本楼・学林堂とも）。</a:t>
          </a:r>
          <a:endParaRPr kumimoji="1" lang="en-US" altLang="ja-JP" sz="1100"/>
        </a:p>
        <a:p>
          <a:r>
            <a:rPr kumimoji="1" lang="ja-JP" altLang="en-US" sz="1100"/>
            <a:t>休憩中はカウンター</a:t>
          </a:r>
          <a:r>
            <a:rPr kumimoji="1" lang="en-US" altLang="ja-JP" sz="1100"/>
            <a:t>2</a:t>
          </a:r>
          <a:r>
            <a:rPr kumimoji="1" lang="ja-JP" altLang="en-US" sz="1100"/>
            <a:t>名　配布・ゴミ回収</a:t>
          </a:r>
          <a:r>
            <a:rPr kumimoji="1" lang="en-US" altLang="ja-JP" sz="1100"/>
            <a:t>2</a:t>
          </a:r>
          <a:r>
            <a:rPr kumimoji="1" lang="ja-JP" altLang="en-US" sz="1100"/>
            <a:t>名（本楼）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終了後、クロークに</a:t>
          </a:r>
          <a:r>
            <a:rPr kumimoji="1" lang="en-US" altLang="ja-JP" sz="1100"/>
            <a:t>2</a:t>
          </a:r>
          <a:r>
            <a:rPr kumimoji="1" lang="ja-JP" altLang="en-US" sz="1100"/>
            <a:t>名必要。</a:t>
          </a:r>
          <a:endParaRPr kumimoji="1" lang="en-US" altLang="ja-JP" sz="1100"/>
        </a:p>
      </xdr:txBody>
    </xdr:sp>
    <xdr:clientData/>
  </xdr:twoCellAnchor>
  <xdr:twoCellAnchor>
    <xdr:from>
      <xdr:col>35</xdr:col>
      <xdr:colOff>7687237</xdr:colOff>
      <xdr:row>5</xdr:row>
      <xdr:rowOff>190498</xdr:rowOff>
    </xdr:from>
    <xdr:to>
      <xdr:col>35</xdr:col>
      <xdr:colOff>12472148</xdr:colOff>
      <xdr:row>12</xdr:row>
      <xdr:rowOff>134468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89716DB-C2B3-F8D7-30D9-1646A404BFE2}"/>
            </a:ext>
          </a:extLst>
        </xdr:cNvPr>
        <xdr:cNvSpPr txBox="1"/>
      </xdr:nvSpPr>
      <xdr:spPr>
        <a:xfrm>
          <a:off x="34995972" y="1501586"/>
          <a:ext cx="4784911" cy="22972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井寸房　受付・</a:t>
          </a:r>
          <a:r>
            <a:rPr kumimoji="1" lang="en-US" altLang="ja-JP" sz="1100"/>
            <a:t>2</a:t>
          </a:r>
          <a:r>
            <a:rPr kumimoji="1" lang="ja-JP" altLang="en-US" sz="1100"/>
            <a:t>名・本受付・</a:t>
          </a:r>
          <a:r>
            <a:rPr kumimoji="1" lang="en-US" altLang="ja-JP" sz="1100"/>
            <a:t>2</a:t>
          </a:r>
          <a:r>
            <a:rPr kumimoji="1" lang="ja-JP" altLang="en-US" sz="1100"/>
            <a:t>名</a:t>
          </a:r>
          <a:endParaRPr kumimoji="1" lang="en-US" altLang="ja-JP" sz="1100"/>
        </a:p>
        <a:p>
          <a:r>
            <a:rPr kumimoji="1" lang="ja-JP" altLang="en-US" sz="1100"/>
            <a:t>（暑いので入れ替え必要　本受付</a:t>
          </a:r>
          <a:r>
            <a:rPr kumimoji="1" lang="en-US" altLang="ja-JP" sz="1100"/>
            <a:t>2</a:t>
          </a:r>
          <a:r>
            <a:rPr kumimoji="1" lang="ja-JP" altLang="en-US" sz="1100"/>
            <a:t>名＋</a:t>
          </a:r>
          <a:r>
            <a:rPr kumimoji="1" lang="en-US" altLang="ja-JP" sz="1100"/>
            <a:t>2</a:t>
          </a:r>
          <a:r>
            <a:rPr kumimoji="1" lang="ja-JP" altLang="en-US" sz="1100"/>
            <a:t>名で本の回収・セットも？）</a:t>
          </a:r>
          <a:endParaRPr kumimoji="1" lang="en-US" altLang="ja-JP" sz="1100"/>
        </a:p>
        <a:p>
          <a:r>
            <a:rPr kumimoji="1" lang="en-US" altLang="ja-JP" sz="1100"/>
            <a:t>1F</a:t>
          </a:r>
          <a:r>
            <a:rPr kumimoji="1" lang="ja-JP" altLang="en-US" sz="1100"/>
            <a:t>誘導</a:t>
          </a:r>
          <a:r>
            <a:rPr kumimoji="1" lang="en-US" altLang="ja-JP" sz="1100"/>
            <a:t>2</a:t>
          </a:r>
          <a:r>
            <a:rPr kumimoji="1" lang="ja-JP" altLang="en-US" sz="1100"/>
            <a:t>名</a:t>
          </a:r>
          <a:endParaRPr kumimoji="1" lang="en-US" altLang="ja-JP" sz="1100"/>
        </a:p>
        <a:p>
          <a:r>
            <a:rPr kumimoji="1" lang="en-US" altLang="ja-JP" sz="1100"/>
            <a:t>2F</a:t>
          </a:r>
          <a:r>
            <a:rPr kumimoji="1" lang="ja-JP" altLang="en-US" sz="1100"/>
            <a:t>・クロークへの誘導２～３名</a:t>
          </a:r>
          <a:endParaRPr kumimoji="1" lang="en-US" altLang="ja-JP" sz="1100"/>
        </a:p>
        <a:p>
          <a:r>
            <a:rPr kumimoji="1" lang="en-US" altLang="ja-JP" sz="1100"/>
            <a:t>2F</a:t>
          </a:r>
          <a:r>
            <a:rPr kumimoji="1" lang="ja-JP" altLang="en-US" sz="1100"/>
            <a:t>クローク</a:t>
          </a:r>
          <a:r>
            <a:rPr kumimoji="1" lang="en-US" altLang="ja-JP" sz="1100"/>
            <a:t>2</a:t>
          </a:r>
          <a:r>
            <a:rPr kumimoji="1" lang="ja-JP" altLang="en-US" sz="1100"/>
            <a:t>名</a:t>
          </a:r>
          <a:endParaRPr kumimoji="1" lang="en-US" altLang="ja-JP" sz="1100"/>
        </a:p>
        <a:p>
          <a:r>
            <a:rPr kumimoji="1" lang="ja-JP" altLang="en-US" sz="1100"/>
            <a:t>１・２Ｆ遊軍２名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インターブッキング時　受付３名～４名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381000</xdr:colOff>
      <xdr:row>10</xdr:row>
      <xdr:rowOff>302559</xdr:rowOff>
    </xdr:from>
    <xdr:to>
      <xdr:col>42</xdr:col>
      <xdr:colOff>381000</xdr:colOff>
      <xdr:row>11</xdr:row>
      <xdr:rowOff>336175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3F654A5-DC30-F3C4-7499-F7605232812B}"/>
            </a:ext>
          </a:extLst>
        </xdr:cNvPr>
        <xdr:cNvSpPr txBox="1"/>
      </xdr:nvSpPr>
      <xdr:spPr>
        <a:xfrm>
          <a:off x="18545735" y="3204883"/>
          <a:ext cx="5468471" cy="4146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33</xdr:col>
      <xdr:colOff>246529</xdr:colOff>
      <xdr:row>8</xdr:row>
      <xdr:rowOff>246529</xdr:rowOff>
    </xdr:from>
    <xdr:to>
      <xdr:col>33</xdr:col>
      <xdr:colOff>7283823</xdr:colOff>
      <xdr:row>15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2DE58C0-9D33-3A95-2E75-DFC40BF67283}"/>
            </a:ext>
          </a:extLst>
        </xdr:cNvPr>
        <xdr:cNvSpPr txBox="1"/>
      </xdr:nvSpPr>
      <xdr:spPr>
        <a:xfrm>
          <a:off x="17716500" y="2386853"/>
          <a:ext cx="7037294" cy="28014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延べ人数として希望は、</a:t>
          </a:r>
          <a:endParaRPr kumimoji="1" lang="en-US" altLang="ja-JP" sz="1100"/>
        </a:p>
        <a:p>
          <a:r>
            <a:rPr kumimoji="1" lang="ja-JP" altLang="en-US" sz="1100"/>
            <a:t>開場から開始までの受付時間＝</a:t>
          </a:r>
          <a:r>
            <a:rPr kumimoji="1" lang="en-US" altLang="ja-JP" sz="1100"/>
            <a:t>10</a:t>
          </a:r>
          <a:r>
            <a:rPr kumimoji="1" lang="ja-JP" altLang="en-US" sz="1100"/>
            <a:t>名程度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開始後の受付</a:t>
          </a:r>
          <a:r>
            <a:rPr kumimoji="1" lang="en-US" altLang="ja-JP" sz="1100"/>
            <a:t>2</a:t>
          </a:r>
          <a:r>
            <a:rPr kumimoji="1" lang="ja-JP" altLang="en-US" sz="1100"/>
            <a:t>名　登降壇・マイク対応</a:t>
          </a:r>
          <a:r>
            <a:rPr kumimoji="1" lang="en-US" altLang="ja-JP" sz="1100"/>
            <a:t>2</a:t>
          </a:r>
          <a:r>
            <a:rPr kumimoji="1" lang="ja-JP" altLang="en-US" sz="1100"/>
            <a:t>名～</a:t>
          </a:r>
          <a:r>
            <a:rPr kumimoji="1" lang="en-US" altLang="ja-JP" sz="1100"/>
            <a:t>3</a:t>
          </a:r>
          <a:r>
            <a:rPr kumimoji="1" lang="ja-JP" altLang="en-US" sz="1100"/>
            <a:t>名？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休憩時間　お菓子やドリンクの事前セットに１～</a:t>
          </a:r>
          <a:r>
            <a:rPr kumimoji="1" lang="en-US" altLang="ja-JP" sz="1100"/>
            <a:t>2</a:t>
          </a:r>
          <a:r>
            <a:rPr kumimoji="1" lang="ja-JP" altLang="en-US" sz="1100"/>
            <a:t>名（本楼・学林堂とも）。</a:t>
          </a:r>
          <a:endParaRPr kumimoji="1" lang="en-US" altLang="ja-JP" sz="1100"/>
        </a:p>
        <a:p>
          <a:r>
            <a:rPr kumimoji="1" lang="ja-JP" altLang="en-US" sz="1100"/>
            <a:t>休憩中はカウンター</a:t>
          </a:r>
          <a:r>
            <a:rPr kumimoji="1" lang="en-US" altLang="ja-JP" sz="1100"/>
            <a:t>2</a:t>
          </a:r>
          <a:r>
            <a:rPr kumimoji="1" lang="ja-JP" altLang="en-US" sz="1100"/>
            <a:t>名　配布・ゴミ回収</a:t>
          </a:r>
          <a:r>
            <a:rPr kumimoji="1" lang="en-US" altLang="ja-JP" sz="1100"/>
            <a:t>2</a:t>
          </a:r>
          <a:r>
            <a:rPr kumimoji="1" lang="ja-JP" altLang="en-US" sz="1100"/>
            <a:t>名（本楼）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終了後、クロークに</a:t>
          </a:r>
          <a:r>
            <a:rPr kumimoji="1" lang="en-US" altLang="ja-JP" sz="1100"/>
            <a:t>2</a:t>
          </a:r>
          <a:r>
            <a:rPr kumimoji="1" lang="ja-JP" altLang="en-US" sz="1100"/>
            <a:t>名必要。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まずは、守花師範＋稲垣さん、新井さんで、たたき台の割り振りを作成。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50D6-3660-4F3D-8EE9-B837BE38CF7C}">
  <sheetPr>
    <pageSetUpPr fitToPage="1"/>
  </sheetPr>
  <dimension ref="A2:AK60"/>
  <sheetViews>
    <sheetView tabSelected="1" zoomScale="85" zoomScaleNormal="85" zoomScalePageLayoutView="64" workbookViewId="0">
      <pane xSplit="4" ySplit="4" topLeftCell="E5" activePane="bottomRight" state="frozenSplit"/>
      <selection pane="topRight" activeCell="I1" sqref="I1"/>
      <selection pane="bottomLeft" activeCell="E5" sqref="E5"/>
      <selection pane="bottomRight" activeCell="M36" sqref="M36"/>
    </sheetView>
  </sheetViews>
  <sheetFormatPr defaultColWidth="9" defaultRowHeight="13.5"/>
  <cols>
    <col min="1" max="1" width="6" style="3" customWidth="1"/>
    <col min="2" max="2" width="24.625" style="3" bestFit="1" customWidth="1"/>
    <col min="3" max="3" width="9.375" style="3" bestFit="1" customWidth="1"/>
    <col min="4" max="4" width="29.5" style="3" customWidth="1"/>
    <col min="5" max="5" width="24.5" style="3" customWidth="1"/>
    <col min="6" max="35" width="9.125" style="3" customWidth="1"/>
    <col min="36" max="36" width="175.75" style="3" customWidth="1"/>
    <col min="37" max="16384" width="9" style="3"/>
  </cols>
  <sheetData>
    <row r="2" spans="1:36" ht="26.25" customHeight="1">
      <c r="A2" s="1" t="s">
        <v>0</v>
      </c>
      <c r="B2" s="2"/>
      <c r="C2" s="2"/>
      <c r="E2" s="153" t="s">
        <v>440</v>
      </c>
      <c r="F2" s="197" t="s">
        <v>277</v>
      </c>
      <c r="G2" s="197" t="s">
        <v>357</v>
      </c>
      <c r="H2" s="197" t="s">
        <v>357</v>
      </c>
      <c r="M2" s="197"/>
      <c r="Q2" s="197"/>
      <c r="R2" s="197" t="s">
        <v>370</v>
      </c>
      <c r="S2" s="215" t="s">
        <v>406</v>
      </c>
      <c r="T2" s="197" t="s">
        <v>357</v>
      </c>
      <c r="U2" s="197" t="s">
        <v>357</v>
      </c>
      <c r="V2" s="197" t="s">
        <v>400</v>
      </c>
      <c r="W2" s="197" t="s">
        <v>357</v>
      </c>
      <c r="AD2" s="200" t="s">
        <v>372</v>
      </c>
      <c r="AE2" s="200" t="s">
        <v>372</v>
      </c>
      <c r="AF2" s="200" t="s">
        <v>410</v>
      </c>
      <c r="AG2" s="200" t="s">
        <v>372</v>
      </c>
      <c r="AH2" s="200" t="s">
        <v>372</v>
      </c>
      <c r="AI2" s="200" t="s">
        <v>372</v>
      </c>
    </row>
    <row r="3" spans="1:36" ht="26.25" customHeight="1" thickBot="1">
      <c r="A3" s="5" t="s">
        <v>280</v>
      </c>
      <c r="B3" s="6"/>
      <c r="C3" s="2"/>
      <c r="G3" s="4"/>
      <c r="H3" s="133" t="s">
        <v>414</v>
      </c>
      <c r="I3" s="133" t="s">
        <v>3</v>
      </c>
      <c r="J3" s="133"/>
      <c r="K3" s="215" t="s">
        <v>409</v>
      </c>
      <c r="M3" s="197" t="s">
        <v>356</v>
      </c>
      <c r="P3" s="133" t="s">
        <v>3</v>
      </c>
      <c r="Q3" s="197" t="s">
        <v>356</v>
      </c>
      <c r="R3" s="133" t="s">
        <v>3</v>
      </c>
      <c r="U3" s="133" t="s">
        <v>3</v>
      </c>
      <c r="V3" s="198"/>
      <c r="W3" s="201" t="s">
        <v>356</v>
      </c>
      <c r="Y3" s="197" t="s">
        <v>36</v>
      </c>
      <c r="Z3" s="133" t="s">
        <v>36</v>
      </c>
      <c r="AB3" s="197" t="s">
        <v>401</v>
      </c>
      <c r="AC3" s="197" t="s">
        <v>401</v>
      </c>
      <c r="AD3" s="199" t="s">
        <v>355</v>
      </c>
      <c r="AE3" s="133" t="s">
        <v>355</v>
      </c>
      <c r="AF3" s="133" t="s">
        <v>355</v>
      </c>
      <c r="AG3" s="133" t="s">
        <v>355</v>
      </c>
      <c r="AH3" s="133" t="s">
        <v>355</v>
      </c>
      <c r="AI3" s="133" t="s">
        <v>408</v>
      </c>
    </row>
    <row r="4" spans="1:36" s="4" customFormat="1" ht="18.95" customHeight="1">
      <c r="A4" s="7" t="s">
        <v>5</v>
      </c>
      <c r="B4" s="8" t="s">
        <v>6</v>
      </c>
      <c r="C4" s="9"/>
      <c r="D4" s="9" t="s">
        <v>7</v>
      </c>
      <c r="E4" s="10"/>
      <c r="F4" s="135" t="s">
        <v>14</v>
      </c>
      <c r="G4" s="135" t="s">
        <v>19</v>
      </c>
      <c r="H4" s="135" t="s">
        <v>20</v>
      </c>
      <c r="I4" s="135" t="s">
        <v>11</v>
      </c>
      <c r="J4" s="135" t="s">
        <v>17</v>
      </c>
      <c r="K4" s="135" t="s">
        <v>15</v>
      </c>
      <c r="L4" s="135" t="s">
        <v>18</v>
      </c>
      <c r="M4" s="135" t="s">
        <v>274</v>
      </c>
      <c r="N4" s="135" t="s">
        <v>10</v>
      </c>
      <c r="O4" s="135" t="s">
        <v>336</v>
      </c>
      <c r="P4" s="135" t="s">
        <v>9</v>
      </c>
      <c r="Q4" s="135" t="s">
        <v>338</v>
      </c>
      <c r="R4" s="135" t="s">
        <v>8</v>
      </c>
      <c r="S4" s="135" t="s">
        <v>21</v>
      </c>
      <c r="T4" s="135" t="s">
        <v>337</v>
      </c>
      <c r="U4" s="135" t="s">
        <v>339</v>
      </c>
      <c r="V4" s="202" t="s">
        <v>340</v>
      </c>
      <c r="W4" s="202" t="s">
        <v>341</v>
      </c>
      <c r="X4" s="202" t="s">
        <v>342</v>
      </c>
      <c r="Y4" s="202" t="s">
        <v>343</v>
      </c>
      <c r="Z4" s="202" t="s">
        <v>344</v>
      </c>
      <c r="AA4" s="202" t="s">
        <v>345</v>
      </c>
      <c r="AB4" s="202" t="s">
        <v>168</v>
      </c>
      <c r="AC4" s="202" t="s">
        <v>346</v>
      </c>
      <c r="AD4" s="203" t="s">
        <v>415</v>
      </c>
      <c r="AE4" s="203" t="s">
        <v>273</v>
      </c>
      <c r="AF4" s="203" t="s">
        <v>347</v>
      </c>
      <c r="AG4" s="203" t="s">
        <v>24</v>
      </c>
      <c r="AH4" s="203" t="s">
        <v>26</v>
      </c>
      <c r="AI4" s="203" t="s">
        <v>371</v>
      </c>
      <c r="AJ4" s="3"/>
    </row>
    <row r="5" spans="1:36" ht="18.95" customHeight="1">
      <c r="A5" s="12"/>
      <c r="B5" s="13"/>
      <c r="C5" s="14"/>
      <c r="D5" s="15"/>
      <c r="E5" s="16" t="s">
        <v>27</v>
      </c>
      <c r="F5" s="18"/>
      <c r="G5" s="17" t="s">
        <v>28</v>
      </c>
      <c r="H5" s="18" t="s">
        <v>28</v>
      </c>
      <c r="I5" s="18" t="s">
        <v>28</v>
      </c>
      <c r="J5" s="18" t="s">
        <v>28</v>
      </c>
      <c r="K5" s="18" t="s">
        <v>28</v>
      </c>
      <c r="L5" s="18" t="s">
        <v>28</v>
      </c>
      <c r="M5" s="18" t="s">
        <v>28</v>
      </c>
      <c r="N5" s="18" t="s">
        <v>28</v>
      </c>
      <c r="O5" s="18" t="s">
        <v>28</v>
      </c>
      <c r="P5" s="18" t="s">
        <v>28</v>
      </c>
      <c r="Q5" s="18" t="s">
        <v>28</v>
      </c>
      <c r="R5" s="18" t="s">
        <v>28</v>
      </c>
      <c r="S5" s="221" t="s">
        <v>405</v>
      </c>
      <c r="T5" s="18" t="s">
        <v>28</v>
      </c>
      <c r="U5" s="18" t="s">
        <v>28</v>
      </c>
      <c r="V5" s="18" t="s">
        <v>28</v>
      </c>
      <c r="W5" s="18" t="s">
        <v>28</v>
      </c>
      <c r="X5" s="18" t="s">
        <v>28</v>
      </c>
      <c r="Y5" s="18" t="s">
        <v>28</v>
      </c>
      <c r="Z5" s="18" t="s">
        <v>28</v>
      </c>
      <c r="AA5" s="18" t="s">
        <v>28</v>
      </c>
      <c r="AB5" s="18" t="s">
        <v>28</v>
      </c>
      <c r="AC5" s="18" t="s">
        <v>28</v>
      </c>
      <c r="AD5" s="18" t="s">
        <v>28</v>
      </c>
      <c r="AE5" s="17" t="s">
        <v>28</v>
      </c>
      <c r="AF5" s="17" t="s">
        <v>28</v>
      </c>
      <c r="AG5" s="17" t="s">
        <v>28</v>
      </c>
      <c r="AH5" s="17" t="s">
        <v>28</v>
      </c>
      <c r="AI5" s="17" t="s">
        <v>28</v>
      </c>
    </row>
    <row r="6" spans="1:36" ht="24.95" customHeight="1">
      <c r="A6" s="19"/>
      <c r="B6" s="20"/>
      <c r="C6" s="21"/>
      <c r="D6" s="15"/>
      <c r="E6" s="16" t="s">
        <v>29</v>
      </c>
      <c r="F6" s="137" t="s">
        <v>358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</row>
    <row r="7" spans="1:36" ht="21.95" customHeight="1">
      <c r="A7" s="23"/>
      <c r="B7" s="24"/>
      <c r="C7" s="25"/>
      <c r="D7" s="141"/>
      <c r="E7" s="141" t="s">
        <v>40</v>
      </c>
      <c r="F7" s="26"/>
      <c r="G7" s="26"/>
      <c r="H7" s="26"/>
      <c r="I7" s="26"/>
      <c r="J7" s="26"/>
      <c r="K7" s="27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 spans="1:36" ht="18.95" customHeight="1">
      <c r="A8" s="23"/>
      <c r="B8" s="220">
        <v>0.39583333333333331</v>
      </c>
      <c r="C8" s="25"/>
      <c r="D8" s="142" t="s">
        <v>404</v>
      </c>
      <c r="E8" s="142" t="s">
        <v>43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</row>
    <row r="9" spans="1:36" ht="30" customHeight="1">
      <c r="A9" s="28"/>
      <c r="B9" s="218">
        <v>0.40625</v>
      </c>
      <c r="C9" s="30"/>
      <c r="D9" s="143" t="s">
        <v>44</v>
      </c>
      <c r="E9" s="166" t="s">
        <v>45</v>
      </c>
      <c r="F9" s="169" t="s">
        <v>277</v>
      </c>
      <c r="G9" s="167" t="s">
        <v>46</v>
      </c>
      <c r="H9" s="168"/>
      <c r="I9" s="167" t="s">
        <v>46</v>
      </c>
      <c r="J9" s="167" t="s">
        <v>46</v>
      </c>
      <c r="K9" s="167" t="s">
        <v>46</v>
      </c>
      <c r="L9" s="167" t="s">
        <v>46</v>
      </c>
      <c r="M9" s="167" t="s">
        <v>46</v>
      </c>
      <c r="N9" s="167" t="s">
        <v>46</v>
      </c>
      <c r="O9" s="167" t="s">
        <v>46</v>
      </c>
      <c r="P9" s="167" t="s">
        <v>46</v>
      </c>
      <c r="Q9" s="167" t="s">
        <v>46</v>
      </c>
      <c r="R9" s="167" t="s">
        <v>46</v>
      </c>
      <c r="S9" s="168"/>
      <c r="T9" s="167" t="s">
        <v>46</v>
      </c>
      <c r="U9" s="167" t="s">
        <v>46</v>
      </c>
      <c r="V9" s="167" t="s">
        <v>47</v>
      </c>
      <c r="W9" s="167" t="s">
        <v>47</v>
      </c>
      <c r="X9" s="167" t="s">
        <v>47</v>
      </c>
      <c r="Y9" s="167" t="s">
        <v>47</v>
      </c>
      <c r="Z9" s="167" t="s">
        <v>47</v>
      </c>
      <c r="AA9" s="167" t="s">
        <v>47</v>
      </c>
      <c r="AB9" s="167" t="s">
        <v>47</v>
      </c>
      <c r="AC9" s="167" t="s">
        <v>47</v>
      </c>
      <c r="AD9" s="167" t="s">
        <v>47</v>
      </c>
      <c r="AE9" s="167" t="s">
        <v>47</v>
      </c>
      <c r="AF9" s="167" t="s">
        <v>47</v>
      </c>
      <c r="AG9" s="167" t="s">
        <v>47</v>
      </c>
      <c r="AH9" s="167" t="s">
        <v>47</v>
      </c>
      <c r="AI9" s="100"/>
    </row>
    <row r="10" spans="1:36" ht="30" customHeight="1">
      <c r="A10" s="216"/>
      <c r="B10" s="34"/>
      <c r="C10" s="217"/>
      <c r="D10" s="143" t="s">
        <v>48</v>
      </c>
      <c r="E10" s="166" t="s">
        <v>49</v>
      </c>
      <c r="F10" s="169" t="s">
        <v>277</v>
      </c>
      <c r="G10" s="168"/>
      <c r="H10" s="168"/>
      <c r="I10" s="167" t="s">
        <v>390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7" t="s">
        <v>390</v>
      </c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7" t="s">
        <v>51</v>
      </c>
      <c r="AF10" s="167" t="s">
        <v>51</v>
      </c>
      <c r="AG10" s="167" t="s">
        <v>51</v>
      </c>
      <c r="AH10" s="168"/>
      <c r="AI10" s="168"/>
    </row>
    <row r="11" spans="1:36" ht="30" customHeight="1">
      <c r="A11" s="33"/>
      <c r="B11" s="34"/>
      <c r="C11" s="35"/>
      <c r="D11" s="143" t="s">
        <v>52</v>
      </c>
      <c r="E11" s="170" t="s">
        <v>53</v>
      </c>
      <c r="F11" s="169" t="s">
        <v>277</v>
      </c>
      <c r="G11" s="171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71"/>
      <c r="AE11" s="168"/>
      <c r="AF11" s="168"/>
      <c r="AG11" s="168"/>
      <c r="AH11" s="168"/>
      <c r="AI11" s="168"/>
    </row>
    <row r="12" spans="1:36" ht="30" customHeight="1">
      <c r="A12" s="33"/>
      <c r="B12" s="34"/>
      <c r="C12" s="35"/>
      <c r="D12" s="143" t="s">
        <v>54</v>
      </c>
      <c r="E12" s="166" t="s">
        <v>55</v>
      </c>
      <c r="F12" s="169" t="s">
        <v>277</v>
      </c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7" t="s">
        <v>389</v>
      </c>
      <c r="S12" s="168"/>
      <c r="T12" s="168"/>
      <c r="U12" s="167" t="s">
        <v>389</v>
      </c>
      <c r="V12" s="168"/>
      <c r="W12" s="168"/>
      <c r="X12" s="168"/>
      <c r="Y12" s="167" t="s">
        <v>388</v>
      </c>
      <c r="Z12" s="167" t="s">
        <v>388</v>
      </c>
      <c r="AA12" s="168"/>
      <c r="AB12" s="168"/>
      <c r="AC12" s="168"/>
      <c r="AD12" s="168"/>
      <c r="AE12" s="168"/>
      <c r="AF12" s="168"/>
      <c r="AG12" s="168"/>
      <c r="AH12" s="168"/>
      <c r="AI12" s="168"/>
    </row>
    <row r="13" spans="1:36" ht="30" customHeight="1">
      <c r="A13" s="33"/>
      <c r="B13" s="34"/>
      <c r="C13" s="35"/>
      <c r="D13" s="132" t="s">
        <v>58</v>
      </c>
      <c r="E13" s="166" t="s">
        <v>59</v>
      </c>
      <c r="F13" s="169" t="s">
        <v>277</v>
      </c>
      <c r="G13" s="167" t="s">
        <v>60</v>
      </c>
      <c r="H13" s="168"/>
      <c r="I13" s="167" t="s">
        <v>60</v>
      </c>
      <c r="J13" s="167" t="s">
        <v>60</v>
      </c>
      <c r="K13" s="167" t="s">
        <v>60</v>
      </c>
      <c r="L13" s="167" t="s">
        <v>60</v>
      </c>
      <c r="M13" s="167" t="s">
        <v>60</v>
      </c>
      <c r="N13" s="167" t="s">
        <v>60</v>
      </c>
      <c r="O13" s="167" t="s">
        <v>60</v>
      </c>
      <c r="P13" s="167" t="s">
        <v>60</v>
      </c>
      <c r="Q13" s="167" t="s">
        <v>60</v>
      </c>
      <c r="R13" s="167" t="s">
        <v>60</v>
      </c>
      <c r="S13" s="168"/>
      <c r="T13" s="167" t="s">
        <v>60</v>
      </c>
      <c r="U13" s="167" t="s">
        <v>60</v>
      </c>
      <c r="V13" s="167" t="s">
        <v>61</v>
      </c>
      <c r="W13" s="167" t="s">
        <v>61</v>
      </c>
      <c r="X13" s="167" t="s">
        <v>61</v>
      </c>
      <c r="Y13" s="167" t="s">
        <v>61</v>
      </c>
      <c r="Z13" s="167" t="s">
        <v>61</v>
      </c>
      <c r="AA13" s="167" t="s">
        <v>61</v>
      </c>
      <c r="AB13" s="167" t="s">
        <v>61</v>
      </c>
      <c r="AC13" s="167" t="s">
        <v>61</v>
      </c>
      <c r="AD13" s="167" t="s">
        <v>61</v>
      </c>
      <c r="AE13" s="167" t="s">
        <v>61</v>
      </c>
      <c r="AF13" s="167" t="s">
        <v>61</v>
      </c>
      <c r="AG13" s="167" t="s">
        <v>61</v>
      </c>
      <c r="AH13" s="167" t="s">
        <v>61</v>
      </c>
      <c r="AI13" s="167" t="s">
        <v>61</v>
      </c>
    </row>
    <row r="14" spans="1:36" ht="41.25" customHeight="1">
      <c r="A14" s="33"/>
      <c r="B14" s="34"/>
      <c r="C14" s="35"/>
      <c r="D14" s="143" t="s">
        <v>62</v>
      </c>
      <c r="E14" s="166" t="s">
        <v>63</v>
      </c>
      <c r="F14" s="169" t="s">
        <v>277</v>
      </c>
      <c r="G14" s="168"/>
      <c r="H14" s="168"/>
      <c r="I14" s="168"/>
      <c r="J14" s="168"/>
      <c r="K14" s="207" t="s">
        <v>387</v>
      </c>
      <c r="L14" s="168"/>
      <c r="M14" s="168"/>
      <c r="N14" s="207" t="s">
        <v>387</v>
      </c>
      <c r="O14" s="207" t="s">
        <v>387</v>
      </c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207" t="s">
        <v>387</v>
      </c>
      <c r="AB14" s="168"/>
      <c r="AC14" s="168"/>
      <c r="AD14" s="167" t="s">
        <v>67</v>
      </c>
      <c r="AE14" s="167" t="s">
        <v>67</v>
      </c>
      <c r="AF14" s="167" t="s">
        <v>67</v>
      </c>
      <c r="AG14" s="167" t="s">
        <v>67</v>
      </c>
      <c r="AH14" s="167" t="s">
        <v>391</v>
      </c>
      <c r="AI14" s="168"/>
    </row>
    <row r="15" spans="1:36" ht="30" customHeight="1">
      <c r="A15" s="38"/>
      <c r="B15" s="220">
        <v>0.46875</v>
      </c>
      <c r="C15" s="40" t="s">
        <v>69</v>
      </c>
      <c r="D15" s="144" t="s">
        <v>70</v>
      </c>
      <c r="E15" s="173" t="s">
        <v>71</v>
      </c>
      <c r="F15" s="174" t="s">
        <v>72</v>
      </c>
      <c r="G15" s="174" t="s">
        <v>72</v>
      </c>
      <c r="H15" s="174" t="s">
        <v>72</v>
      </c>
      <c r="I15" s="175" t="s">
        <v>72</v>
      </c>
      <c r="J15" s="174" t="s">
        <v>72</v>
      </c>
      <c r="K15" s="174" t="s">
        <v>72</v>
      </c>
      <c r="L15" s="174" t="s">
        <v>72</v>
      </c>
      <c r="M15" s="174" t="s">
        <v>72</v>
      </c>
      <c r="N15" s="174" t="s">
        <v>72</v>
      </c>
      <c r="O15" s="174" t="s">
        <v>72</v>
      </c>
      <c r="P15" s="174" t="s">
        <v>72</v>
      </c>
      <c r="Q15" s="174" t="s">
        <v>72</v>
      </c>
      <c r="R15" s="174" t="s">
        <v>72</v>
      </c>
      <c r="S15" s="174" t="s">
        <v>72</v>
      </c>
      <c r="T15" s="174" t="s">
        <v>72</v>
      </c>
      <c r="U15" s="174" t="s">
        <v>72</v>
      </c>
      <c r="V15" s="174" t="s">
        <v>72</v>
      </c>
      <c r="W15" s="174" t="s">
        <v>72</v>
      </c>
      <c r="X15" s="174" t="s">
        <v>72</v>
      </c>
      <c r="Y15" s="174" t="s">
        <v>72</v>
      </c>
      <c r="Z15" s="174" t="s">
        <v>72</v>
      </c>
      <c r="AA15" s="174" t="s">
        <v>72</v>
      </c>
      <c r="AB15" s="174" t="s">
        <v>72</v>
      </c>
      <c r="AC15" s="174" t="s">
        <v>72</v>
      </c>
      <c r="AD15" s="174" t="s">
        <v>72</v>
      </c>
      <c r="AE15" s="174" t="s">
        <v>72</v>
      </c>
      <c r="AF15" s="174" t="s">
        <v>72</v>
      </c>
      <c r="AG15" s="174" t="s">
        <v>72</v>
      </c>
      <c r="AH15" s="174" t="s">
        <v>72</v>
      </c>
      <c r="AI15" s="174" t="s">
        <v>72</v>
      </c>
    </row>
    <row r="16" spans="1:36" ht="30" customHeight="1" thickBot="1">
      <c r="A16" s="23"/>
      <c r="B16" s="220">
        <v>0.48958333333333331</v>
      </c>
      <c r="C16" s="40"/>
      <c r="D16" s="219"/>
      <c r="E16" s="176"/>
      <c r="F16" s="177"/>
      <c r="G16" s="177"/>
      <c r="H16" s="178"/>
      <c r="I16" s="178"/>
      <c r="J16" s="177"/>
      <c r="K16" s="207" t="s">
        <v>387</v>
      </c>
      <c r="L16" s="177"/>
      <c r="M16" s="177"/>
      <c r="N16" s="207" t="s">
        <v>387</v>
      </c>
      <c r="O16" s="207" t="s">
        <v>387</v>
      </c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207" t="s">
        <v>387</v>
      </c>
      <c r="AB16" s="177"/>
      <c r="AC16" s="177"/>
      <c r="AD16" s="167" t="s">
        <v>67</v>
      </c>
      <c r="AE16" s="167" t="s">
        <v>67</v>
      </c>
      <c r="AF16" s="167" t="s">
        <v>67</v>
      </c>
      <c r="AG16" s="167" t="s">
        <v>67</v>
      </c>
      <c r="AH16" s="177"/>
      <c r="AI16" s="177"/>
    </row>
    <row r="17" spans="1:36" s="4" customFormat="1" ht="26.25" customHeight="1">
      <c r="A17" s="7" t="s">
        <v>5</v>
      </c>
      <c r="B17" s="8" t="s">
        <v>6</v>
      </c>
      <c r="C17" s="9"/>
      <c r="D17" s="9" t="s">
        <v>7</v>
      </c>
      <c r="E17" s="179"/>
      <c r="F17" s="180" t="str">
        <f>F4</f>
        <v>渋谷</v>
      </c>
      <c r="G17" s="180" t="str">
        <f t="shared" ref="G17:AC17" si="0">G4</f>
        <v>林</v>
      </c>
      <c r="H17" s="180" t="str">
        <f t="shared" si="0"/>
        <v>平野</v>
      </c>
      <c r="I17" s="180" t="str">
        <f t="shared" si="0"/>
        <v>吉井</v>
      </c>
      <c r="J17" s="180" t="str">
        <f t="shared" si="0"/>
        <v>森本</v>
      </c>
      <c r="K17" s="180" t="str">
        <f t="shared" si="0"/>
        <v>古谷</v>
      </c>
      <c r="L17" s="180" t="str">
        <f t="shared" si="0"/>
        <v>岩野</v>
      </c>
      <c r="M17" s="180" t="str">
        <f t="shared" si="0"/>
        <v>角山</v>
      </c>
      <c r="N17" s="180" t="str">
        <f t="shared" si="0"/>
        <v>高田</v>
      </c>
      <c r="O17" s="180" t="str">
        <f t="shared" si="0"/>
        <v>森川</v>
      </c>
      <c r="P17" s="180" t="str">
        <f t="shared" si="0"/>
        <v>村井</v>
      </c>
      <c r="Q17" s="180" t="str">
        <f t="shared" si="0"/>
        <v>中村裕美</v>
      </c>
      <c r="R17" s="180" t="str">
        <f t="shared" si="0"/>
        <v>齋藤</v>
      </c>
      <c r="S17" s="180" t="str">
        <f t="shared" si="0"/>
        <v>山崎</v>
      </c>
      <c r="T17" s="180" t="str">
        <f t="shared" si="0"/>
        <v>新坂</v>
      </c>
      <c r="U17" s="180" t="str">
        <f t="shared" si="0"/>
        <v>中村麻人</v>
      </c>
      <c r="V17" s="205" t="str">
        <f t="shared" si="0"/>
        <v>白川</v>
      </c>
      <c r="W17" s="205" t="str">
        <f t="shared" si="0"/>
        <v>戸田</v>
      </c>
      <c r="X17" s="205" t="str">
        <f t="shared" si="0"/>
        <v>得原</v>
      </c>
      <c r="Y17" s="205" t="str">
        <f>Y4</f>
        <v>桂</v>
      </c>
      <c r="Z17" s="205" t="str">
        <f t="shared" si="0"/>
        <v>中尾</v>
      </c>
      <c r="AA17" s="205" t="str">
        <f>AA4</f>
        <v>吉田</v>
      </c>
      <c r="AB17" s="205" t="str">
        <f t="shared" si="0"/>
        <v>福田</v>
      </c>
      <c r="AC17" s="205" t="str">
        <f t="shared" si="0"/>
        <v>北原</v>
      </c>
      <c r="AD17" s="204" t="str">
        <f t="shared" ref="AD17:AI17" si="1">AD4</f>
        <v>高本</v>
      </c>
      <c r="AE17" s="204" t="str">
        <f t="shared" si="1"/>
        <v>相部</v>
      </c>
      <c r="AF17" s="204" t="str">
        <f t="shared" si="1"/>
        <v>内村</v>
      </c>
      <c r="AG17" s="204" t="str">
        <f t="shared" si="1"/>
        <v>若林</v>
      </c>
      <c r="AH17" s="204" t="str">
        <f t="shared" si="1"/>
        <v>新井</v>
      </c>
      <c r="AI17" s="204" t="str">
        <f t="shared" si="1"/>
        <v>原田祥子</v>
      </c>
      <c r="AJ17" s="3"/>
    </row>
    <row r="18" spans="1:36" ht="63" customHeight="1">
      <c r="A18" s="160" t="s">
        <v>73</v>
      </c>
      <c r="B18" s="157">
        <v>0.5</v>
      </c>
      <c r="C18" s="79"/>
      <c r="D18" s="160" t="s">
        <v>282</v>
      </c>
      <c r="E18" s="181" t="s">
        <v>75</v>
      </c>
      <c r="F18" s="169" t="s">
        <v>277</v>
      </c>
      <c r="G18" s="182"/>
      <c r="H18" s="182"/>
      <c r="I18" s="167" t="s">
        <v>78</v>
      </c>
      <c r="J18" s="172" t="s">
        <v>279</v>
      </c>
      <c r="K18" s="207" t="s">
        <v>360</v>
      </c>
      <c r="L18" s="167" t="s">
        <v>365</v>
      </c>
      <c r="M18" s="182"/>
      <c r="N18" s="207" t="s">
        <v>360</v>
      </c>
      <c r="O18" s="207" t="s">
        <v>360</v>
      </c>
      <c r="P18" s="172" t="s">
        <v>364</v>
      </c>
      <c r="Q18" s="168"/>
      <c r="R18" s="172" t="s">
        <v>366</v>
      </c>
      <c r="S18" s="168"/>
      <c r="T18" s="172" t="s">
        <v>279</v>
      </c>
      <c r="U18" s="167" t="s">
        <v>56</v>
      </c>
      <c r="V18" s="168"/>
      <c r="W18" s="168"/>
      <c r="X18" s="172" t="s">
        <v>279</v>
      </c>
      <c r="Y18" s="167" t="s">
        <v>80</v>
      </c>
      <c r="Z18" s="167" t="s">
        <v>80</v>
      </c>
      <c r="AA18" s="213" t="s">
        <v>361</v>
      </c>
      <c r="AB18" s="183" t="s">
        <v>278</v>
      </c>
      <c r="AC18" s="167" t="s">
        <v>362</v>
      </c>
      <c r="AD18" s="167" t="s">
        <v>359</v>
      </c>
      <c r="AE18" s="167" t="s">
        <v>359</v>
      </c>
      <c r="AF18" s="167" t="s">
        <v>359</v>
      </c>
      <c r="AG18" s="167" t="s">
        <v>359</v>
      </c>
      <c r="AH18" s="167" t="s">
        <v>153</v>
      </c>
      <c r="AI18" s="167" t="s">
        <v>362</v>
      </c>
      <c r="AJ18" s="102" t="s">
        <v>439</v>
      </c>
    </row>
    <row r="19" spans="1:36" ht="26.1" customHeight="1">
      <c r="A19" s="156">
        <v>1</v>
      </c>
      <c r="B19" s="154">
        <v>0.52083333333333337</v>
      </c>
      <c r="C19" s="155">
        <f>SUM(C20:C21)</f>
        <v>6.9444444444444441E-3</v>
      </c>
      <c r="D19" s="156" t="s">
        <v>281</v>
      </c>
      <c r="E19" s="181" t="s">
        <v>85</v>
      </c>
      <c r="F19" s="169" t="s">
        <v>277</v>
      </c>
      <c r="G19" s="182"/>
      <c r="H19" s="182"/>
      <c r="I19" s="182"/>
      <c r="J19" s="182"/>
      <c r="K19" s="184" t="s">
        <v>363</v>
      </c>
      <c r="L19" s="182"/>
      <c r="M19" s="168"/>
      <c r="N19" s="184" t="s">
        <v>399</v>
      </c>
      <c r="O19" s="184" t="s">
        <v>363</v>
      </c>
      <c r="P19" s="184" t="s">
        <v>363</v>
      </c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7" t="s">
        <v>374</v>
      </c>
      <c r="AF19" s="222" t="s">
        <v>411</v>
      </c>
      <c r="AG19" s="167" t="s">
        <v>374</v>
      </c>
      <c r="AH19" s="168"/>
      <c r="AI19" s="168"/>
      <c r="AJ19" s="102" t="s">
        <v>398</v>
      </c>
    </row>
    <row r="20" spans="1:36" ht="26.1" customHeight="1">
      <c r="A20" s="160" t="s">
        <v>290</v>
      </c>
      <c r="B20" s="157">
        <f>B19</f>
        <v>0.52083333333333337</v>
      </c>
      <c r="C20" s="158">
        <v>3.472222222222222E-3</v>
      </c>
      <c r="D20" s="159" t="s">
        <v>416</v>
      </c>
      <c r="E20" s="181" t="s">
        <v>85</v>
      </c>
      <c r="F20" s="169" t="s">
        <v>277</v>
      </c>
      <c r="G20" s="182"/>
      <c r="H20" s="182"/>
      <c r="I20" s="182"/>
      <c r="J20" s="182"/>
      <c r="K20" s="184" t="s">
        <v>363</v>
      </c>
      <c r="L20" s="182"/>
      <c r="M20" s="168"/>
      <c r="N20" s="184" t="s">
        <v>399</v>
      </c>
      <c r="O20" s="184" t="s">
        <v>363</v>
      </c>
      <c r="P20" s="184" t="s">
        <v>363</v>
      </c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85"/>
      <c r="AB20" s="168"/>
      <c r="AC20" s="168"/>
      <c r="AD20" s="168"/>
      <c r="AE20" s="167" t="s">
        <v>374</v>
      </c>
      <c r="AF20" s="222" t="s">
        <v>411</v>
      </c>
      <c r="AG20" s="167" t="s">
        <v>374</v>
      </c>
      <c r="AH20" s="168"/>
      <c r="AI20" s="168"/>
      <c r="AJ20" s="102"/>
    </row>
    <row r="21" spans="1:36" ht="26.1" customHeight="1">
      <c r="A21" s="160" t="s">
        <v>291</v>
      </c>
      <c r="B21" s="157">
        <f>B20+C20</f>
        <v>0.52430555555555558</v>
      </c>
      <c r="C21" s="158">
        <v>3.472222222222222E-3</v>
      </c>
      <c r="D21" s="159" t="s">
        <v>417</v>
      </c>
      <c r="E21" s="181" t="s">
        <v>85</v>
      </c>
      <c r="F21" s="169" t="s">
        <v>277</v>
      </c>
      <c r="G21" s="182"/>
      <c r="H21" s="182"/>
      <c r="I21" s="182"/>
      <c r="J21" s="182"/>
      <c r="K21" s="184" t="s">
        <v>363</v>
      </c>
      <c r="L21" s="182"/>
      <c r="M21" s="182"/>
      <c r="N21" s="184" t="s">
        <v>399</v>
      </c>
      <c r="O21" s="184" t="s">
        <v>363</v>
      </c>
      <c r="P21" s="184" t="s">
        <v>363</v>
      </c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5"/>
      <c r="AB21" s="182"/>
      <c r="AC21" s="182"/>
      <c r="AD21" s="182"/>
      <c r="AE21" s="167" t="s">
        <v>374</v>
      </c>
      <c r="AF21" s="222" t="s">
        <v>411</v>
      </c>
      <c r="AG21" s="167" t="s">
        <v>374</v>
      </c>
      <c r="AH21" s="182"/>
      <c r="AI21" s="182"/>
      <c r="AJ21" s="102"/>
    </row>
    <row r="22" spans="1:36" ht="26.1" customHeight="1">
      <c r="A22" s="156" t="s">
        <v>292</v>
      </c>
      <c r="B22" s="154">
        <f>B19+C19</f>
        <v>0.52777777777777779</v>
      </c>
      <c r="C22" s="155">
        <f>SUM(C23:C31)</f>
        <v>7.0798611111111107</v>
      </c>
      <c r="D22" s="161" t="s">
        <v>283</v>
      </c>
      <c r="E22" s="181"/>
      <c r="F22" s="169" t="s">
        <v>277</v>
      </c>
      <c r="G22" s="182"/>
      <c r="H22" s="182"/>
      <c r="I22" s="182"/>
      <c r="J22" s="182"/>
      <c r="K22" s="184" t="s">
        <v>363</v>
      </c>
      <c r="L22" s="182"/>
      <c r="M22" s="168"/>
      <c r="N22" s="184" t="s">
        <v>399</v>
      </c>
      <c r="O22" s="184" t="s">
        <v>363</v>
      </c>
      <c r="P22" s="184" t="s">
        <v>363</v>
      </c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82"/>
      <c r="AB22" s="182"/>
      <c r="AC22" s="182"/>
      <c r="AD22" s="168"/>
      <c r="AE22" s="167" t="s">
        <v>374</v>
      </c>
      <c r="AF22" s="222" t="s">
        <v>411</v>
      </c>
      <c r="AG22" s="167" t="s">
        <v>374</v>
      </c>
      <c r="AH22" s="168"/>
      <c r="AI22" s="168"/>
      <c r="AJ22" s="102" t="s">
        <v>394</v>
      </c>
    </row>
    <row r="23" spans="1:36" ht="26.1" customHeight="1">
      <c r="A23" s="160" t="s">
        <v>293</v>
      </c>
      <c r="B23" s="157">
        <f>B22</f>
        <v>0.52777777777777779</v>
      </c>
      <c r="C23" s="158">
        <v>1.0006944444444446</v>
      </c>
      <c r="D23" s="159" t="s">
        <v>288</v>
      </c>
      <c r="E23" s="181" t="s">
        <v>348</v>
      </c>
      <c r="F23" s="169" t="s">
        <v>277</v>
      </c>
      <c r="G23" s="182"/>
      <c r="H23" s="182"/>
      <c r="I23" s="182"/>
      <c r="J23" s="182"/>
      <c r="K23" s="184" t="s">
        <v>363</v>
      </c>
      <c r="L23" s="182"/>
      <c r="M23" s="168"/>
      <c r="N23" s="184" t="s">
        <v>399</v>
      </c>
      <c r="O23" s="184" t="s">
        <v>363</v>
      </c>
      <c r="P23" s="184" t="s">
        <v>363</v>
      </c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82"/>
      <c r="AC23" s="182"/>
      <c r="AD23" s="168"/>
      <c r="AE23" s="167" t="s">
        <v>374</v>
      </c>
      <c r="AF23" s="222" t="s">
        <v>411</v>
      </c>
      <c r="AG23" s="167" t="s">
        <v>374</v>
      </c>
      <c r="AH23" s="168"/>
      <c r="AI23" s="168"/>
      <c r="AJ23" s="102"/>
    </row>
    <row r="24" spans="1:36" ht="26.1" customHeight="1">
      <c r="A24" s="160" t="s">
        <v>294</v>
      </c>
      <c r="B24" s="157">
        <f>B23+C23</f>
        <v>1.5284722222222222</v>
      </c>
      <c r="C24" s="158">
        <v>5.0034722222222223</v>
      </c>
      <c r="D24" s="159" t="s">
        <v>289</v>
      </c>
      <c r="E24" s="181"/>
      <c r="F24" s="169" t="s">
        <v>277</v>
      </c>
      <c r="G24" s="182"/>
      <c r="H24" s="182"/>
      <c r="I24" s="182"/>
      <c r="J24" s="182"/>
      <c r="K24" s="184" t="s">
        <v>363</v>
      </c>
      <c r="L24" s="182"/>
      <c r="M24" s="168"/>
      <c r="N24" s="184" t="s">
        <v>399</v>
      </c>
      <c r="O24" s="184" t="s">
        <v>363</v>
      </c>
      <c r="P24" s="184" t="s">
        <v>363</v>
      </c>
      <c r="Q24" s="168"/>
      <c r="R24" s="168"/>
      <c r="S24" s="168"/>
      <c r="T24" s="168"/>
      <c r="U24" s="168"/>
      <c r="V24" s="168"/>
      <c r="W24" s="168"/>
      <c r="X24" s="186" t="s">
        <v>105</v>
      </c>
      <c r="Y24" s="186" t="s">
        <v>105</v>
      </c>
      <c r="Z24" s="186" t="s">
        <v>105</v>
      </c>
      <c r="AA24" s="186" t="s">
        <v>105</v>
      </c>
      <c r="AB24" s="182"/>
      <c r="AC24" s="182"/>
      <c r="AD24" s="182"/>
      <c r="AE24" s="167" t="s">
        <v>374</v>
      </c>
      <c r="AF24" s="222" t="s">
        <v>411</v>
      </c>
      <c r="AG24" s="167" t="s">
        <v>374</v>
      </c>
      <c r="AH24" s="182"/>
      <c r="AI24" s="182"/>
    </row>
    <row r="25" spans="1:36" ht="26.1" customHeight="1">
      <c r="A25" s="160" t="s">
        <v>295</v>
      </c>
      <c r="B25" s="157">
        <f t="shared" ref="B25:B31" si="2">B24+C24</f>
        <v>6.531944444444445</v>
      </c>
      <c r="C25" s="158">
        <v>2.0833333333333333E-3</v>
      </c>
      <c r="D25" s="159" t="s">
        <v>284</v>
      </c>
      <c r="E25" s="181" t="s">
        <v>348</v>
      </c>
      <c r="F25" s="169" t="s">
        <v>277</v>
      </c>
      <c r="G25" s="182"/>
      <c r="H25" s="182"/>
      <c r="I25" s="182"/>
      <c r="J25" s="182"/>
      <c r="K25" s="184" t="s">
        <v>363</v>
      </c>
      <c r="L25" s="182"/>
      <c r="M25" s="168"/>
      <c r="N25" s="184" t="s">
        <v>399</v>
      </c>
      <c r="O25" s="184" t="s">
        <v>363</v>
      </c>
      <c r="P25" s="184" t="s">
        <v>363</v>
      </c>
      <c r="Q25" s="168"/>
      <c r="R25" s="168"/>
      <c r="S25" s="168"/>
      <c r="T25" s="168"/>
      <c r="U25" s="168"/>
      <c r="V25" s="168"/>
      <c r="W25" s="168"/>
      <c r="X25" s="186" t="s">
        <v>105</v>
      </c>
      <c r="Y25" s="186" t="s">
        <v>105</v>
      </c>
      <c r="Z25" s="186" t="s">
        <v>105</v>
      </c>
      <c r="AA25" s="186" t="s">
        <v>105</v>
      </c>
      <c r="AB25" s="182"/>
      <c r="AC25" s="182"/>
      <c r="AD25" s="32" t="s">
        <v>87</v>
      </c>
      <c r="AE25" s="167" t="s">
        <v>374</v>
      </c>
      <c r="AF25" s="222" t="s">
        <v>411</v>
      </c>
      <c r="AG25" s="167" t="s">
        <v>374</v>
      </c>
      <c r="AH25" s="167" t="s">
        <v>373</v>
      </c>
      <c r="AI25" s="182"/>
      <c r="AJ25" s="102"/>
    </row>
    <row r="26" spans="1:36" ht="26.1" customHeight="1">
      <c r="A26" s="160" t="s">
        <v>296</v>
      </c>
      <c r="B26" s="157">
        <f t="shared" si="2"/>
        <v>6.5340277777777782</v>
      </c>
      <c r="C26" s="158">
        <v>3.4722222222222224E-2</v>
      </c>
      <c r="D26" s="159" t="s">
        <v>285</v>
      </c>
      <c r="E26" s="181" t="s">
        <v>349</v>
      </c>
      <c r="F26" s="169" t="s">
        <v>277</v>
      </c>
      <c r="G26" s="182"/>
      <c r="H26" s="182"/>
      <c r="I26" s="182"/>
      <c r="J26" s="182"/>
      <c r="K26" s="182"/>
      <c r="L26" s="182"/>
      <c r="M26" s="168"/>
      <c r="N26" s="184" t="s">
        <v>399</v>
      </c>
      <c r="O26" s="168"/>
      <c r="P26" s="168"/>
      <c r="Q26" s="168"/>
      <c r="R26" s="168"/>
      <c r="S26" s="168"/>
      <c r="T26" s="168"/>
      <c r="U26" s="168"/>
      <c r="V26" s="168"/>
      <c r="W26" s="168"/>
      <c r="X26" s="186" t="s">
        <v>105</v>
      </c>
      <c r="Y26" s="186" t="s">
        <v>105</v>
      </c>
      <c r="Z26" s="186" t="s">
        <v>105</v>
      </c>
      <c r="AA26" s="186" t="s">
        <v>105</v>
      </c>
      <c r="AB26" s="182"/>
      <c r="AC26" s="182"/>
      <c r="AD26" s="32" t="s">
        <v>87</v>
      </c>
      <c r="AE26" s="167" t="s">
        <v>374</v>
      </c>
      <c r="AF26" s="222" t="s">
        <v>411</v>
      </c>
      <c r="AG26" s="167" t="s">
        <v>374</v>
      </c>
      <c r="AH26" s="167" t="s">
        <v>373</v>
      </c>
      <c r="AI26" s="182"/>
    </row>
    <row r="27" spans="1:36" ht="26.1" customHeight="1">
      <c r="A27" s="160" t="s">
        <v>297</v>
      </c>
      <c r="B27" s="157">
        <f t="shared" si="2"/>
        <v>6.5687500000000005</v>
      </c>
      <c r="C27" s="158">
        <v>9.0277777777777769E-3</v>
      </c>
      <c r="D27" s="159" t="s">
        <v>286</v>
      </c>
      <c r="E27" s="181" t="s">
        <v>348</v>
      </c>
      <c r="F27" s="169" t="s">
        <v>277</v>
      </c>
      <c r="G27" s="182"/>
      <c r="H27" s="182"/>
      <c r="I27" s="56" t="s">
        <v>106</v>
      </c>
      <c r="J27" s="56" t="s">
        <v>106</v>
      </c>
      <c r="K27" s="182"/>
      <c r="L27" s="182"/>
      <c r="M27" s="168"/>
      <c r="N27" s="184" t="s">
        <v>399</v>
      </c>
      <c r="O27" s="168"/>
      <c r="P27" s="168"/>
      <c r="Q27" s="168"/>
      <c r="R27" s="168"/>
      <c r="S27" s="56" t="s">
        <v>106</v>
      </c>
      <c r="T27" s="56" t="s">
        <v>106</v>
      </c>
      <c r="U27" s="168"/>
      <c r="V27" s="168"/>
      <c r="W27" s="168"/>
      <c r="X27" s="186" t="s">
        <v>105</v>
      </c>
      <c r="Y27" s="186" t="s">
        <v>105</v>
      </c>
      <c r="Z27" s="186" t="s">
        <v>105</v>
      </c>
      <c r="AA27" s="186" t="s">
        <v>105</v>
      </c>
      <c r="AB27" s="185"/>
      <c r="AC27" s="185"/>
      <c r="AD27" s="32" t="s">
        <v>87</v>
      </c>
      <c r="AE27" s="56" t="s">
        <v>106</v>
      </c>
      <c r="AF27" s="222" t="s">
        <v>411</v>
      </c>
      <c r="AG27" s="56" t="s">
        <v>106</v>
      </c>
      <c r="AH27" s="167" t="s">
        <v>373</v>
      </c>
      <c r="AI27" s="56" t="s">
        <v>106</v>
      </c>
      <c r="AJ27" s="102" t="s">
        <v>107</v>
      </c>
    </row>
    <row r="28" spans="1:36" ht="26.1" customHeight="1">
      <c r="A28" s="160" t="s">
        <v>298</v>
      </c>
      <c r="B28" s="157">
        <f t="shared" si="2"/>
        <v>6.5777777777777784</v>
      </c>
      <c r="C28" s="158">
        <v>6.9444444444444441E-3</v>
      </c>
      <c r="D28" s="159" t="s">
        <v>101</v>
      </c>
      <c r="E28" s="181" t="s">
        <v>350</v>
      </c>
      <c r="F28" s="169" t="s">
        <v>277</v>
      </c>
      <c r="G28" s="182"/>
      <c r="H28" s="182"/>
      <c r="I28" s="56" t="s">
        <v>106</v>
      </c>
      <c r="J28" s="56" t="s">
        <v>106</v>
      </c>
      <c r="K28" s="182"/>
      <c r="L28" s="182"/>
      <c r="M28" s="168"/>
      <c r="N28" s="184" t="s">
        <v>399</v>
      </c>
      <c r="O28" s="168"/>
      <c r="P28" s="168"/>
      <c r="Q28" s="168"/>
      <c r="R28" s="168"/>
      <c r="S28" s="56" t="s">
        <v>106</v>
      </c>
      <c r="T28" s="56" t="s">
        <v>106</v>
      </c>
      <c r="U28" s="168"/>
      <c r="V28" s="186" t="s">
        <v>105</v>
      </c>
      <c r="W28" s="186" t="s">
        <v>105</v>
      </c>
      <c r="X28" s="186" t="s">
        <v>105</v>
      </c>
      <c r="Y28" s="186" t="s">
        <v>105</v>
      </c>
      <c r="Z28" s="186" t="s">
        <v>105</v>
      </c>
      <c r="AA28" s="186" t="s">
        <v>105</v>
      </c>
      <c r="AB28" s="186" t="s">
        <v>105</v>
      </c>
      <c r="AC28" s="185"/>
      <c r="AD28" s="32" t="s">
        <v>87</v>
      </c>
      <c r="AE28" s="56" t="s">
        <v>106</v>
      </c>
      <c r="AF28" s="222" t="s">
        <v>411</v>
      </c>
      <c r="AG28" s="56" t="s">
        <v>106</v>
      </c>
      <c r="AH28" s="167" t="s">
        <v>373</v>
      </c>
      <c r="AI28" s="56" t="s">
        <v>106</v>
      </c>
      <c r="AJ28" s="214" t="s">
        <v>412</v>
      </c>
    </row>
    <row r="29" spans="1:36" ht="26.1" customHeight="1">
      <c r="A29" s="160" t="s">
        <v>418</v>
      </c>
      <c r="B29" s="157">
        <f>B28+C28</f>
        <v>6.584722222222223</v>
      </c>
      <c r="C29" s="158">
        <v>1.3888888888888889E-3</v>
      </c>
      <c r="D29" s="159" t="s">
        <v>287</v>
      </c>
      <c r="E29" s="181" t="s">
        <v>350</v>
      </c>
      <c r="F29" s="169" t="s">
        <v>277</v>
      </c>
      <c r="G29" s="182"/>
      <c r="H29" s="182"/>
      <c r="I29" s="56" t="s">
        <v>106</v>
      </c>
      <c r="J29" s="56" t="s">
        <v>106</v>
      </c>
      <c r="K29" s="182"/>
      <c r="L29" s="182"/>
      <c r="M29" s="168"/>
      <c r="N29" s="184" t="s">
        <v>399</v>
      </c>
      <c r="O29" s="168"/>
      <c r="P29" s="168"/>
      <c r="Q29" s="168"/>
      <c r="R29" s="168"/>
      <c r="S29" s="56" t="s">
        <v>106</v>
      </c>
      <c r="T29" s="56" t="s">
        <v>106</v>
      </c>
      <c r="U29" s="168"/>
      <c r="V29" s="186" t="s">
        <v>105</v>
      </c>
      <c r="W29" s="186" t="s">
        <v>105</v>
      </c>
      <c r="X29" s="168"/>
      <c r="Y29" s="168"/>
      <c r="Z29" s="168"/>
      <c r="AA29" s="168"/>
      <c r="AB29" s="168"/>
      <c r="AC29" s="185"/>
      <c r="AD29" s="32" t="s">
        <v>87</v>
      </c>
      <c r="AE29" s="56" t="s">
        <v>106</v>
      </c>
      <c r="AF29" s="222" t="s">
        <v>411</v>
      </c>
      <c r="AG29" s="56" t="s">
        <v>106</v>
      </c>
      <c r="AH29" s="167" t="s">
        <v>373</v>
      </c>
      <c r="AI29" s="56" t="s">
        <v>106</v>
      </c>
      <c r="AJ29" s="101"/>
    </row>
    <row r="30" spans="1:36" ht="51.75">
      <c r="A30" s="160" t="s">
        <v>419</v>
      </c>
      <c r="B30" s="157">
        <f t="shared" si="2"/>
        <v>6.5861111111111121</v>
      </c>
      <c r="C30" s="158">
        <v>6.9444444444444447E-4</v>
      </c>
      <c r="D30" s="159" t="s">
        <v>438</v>
      </c>
      <c r="E30" s="181" t="s">
        <v>350</v>
      </c>
      <c r="F30" s="169" t="s">
        <v>277</v>
      </c>
      <c r="G30" s="182"/>
      <c r="H30" s="182"/>
      <c r="I30" s="56" t="s">
        <v>106</v>
      </c>
      <c r="J30" s="56" t="s">
        <v>106</v>
      </c>
      <c r="K30" s="182"/>
      <c r="L30" s="182"/>
      <c r="M30" s="168"/>
      <c r="N30" s="184" t="s">
        <v>399</v>
      </c>
      <c r="O30" s="168"/>
      <c r="P30" s="168"/>
      <c r="Q30" s="168"/>
      <c r="R30" s="168"/>
      <c r="S30" s="56" t="s">
        <v>106</v>
      </c>
      <c r="T30" s="56" t="s">
        <v>106</v>
      </c>
      <c r="U30" s="168"/>
      <c r="V30" s="168"/>
      <c r="W30" s="168"/>
      <c r="X30" s="168"/>
      <c r="Y30" s="168"/>
      <c r="Z30" s="168"/>
      <c r="AA30" s="168"/>
      <c r="AB30" s="168"/>
      <c r="AC30" s="185"/>
      <c r="AD30" s="32" t="s">
        <v>87</v>
      </c>
      <c r="AE30" s="56" t="s">
        <v>106</v>
      </c>
      <c r="AF30" s="222" t="s">
        <v>411</v>
      </c>
      <c r="AG30" s="136" t="s">
        <v>407</v>
      </c>
      <c r="AH30" s="167" t="s">
        <v>373</v>
      </c>
      <c r="AI30" s="56" t="s">
        <v>106</v>
      </c>
      <c r="AJ30" s="102" t="s">
        <v>396</v>
      </c>
    </row>
    <row r="31" spans="1:36" ht="39.950000000000003" customHeight="1">
      <c r="A31" s="162" t="s">
        <v>299</v>
      </c>
      <c r="B31" s="163">
        <f t="shared" si="2"/>
        <v>6.5868055555555562</v>
      </c>
      <c r="C31" s="164">
        <v>1.0208333333333333</v>
      </c>
      <c r="D31" s="165" t="s">
        <v>300</v>
      </c>
      <c r="E31" s="181" t="s">
        <v>352</v>
      </c>
      <c r="F31" s="169" t="s">
        <v>277</v>
      </c>
      <c r="G31" s="187"/>
      <c r="H31" s="188"/>
      <c r="I31" s="206" t="s">
        <v>377</v>
      </c>
      <c r="J31" s="206" t="s">
        <v>377</v>
      </c>
      <c r="K31" s="189"/>
      <c r="L31" s="189"/>
      <c r="M31" s="187"/>
      <c r="N31" s="187"/>
      <c r="O31" s="187"/>
      <c r="P31" s="187"/>
      <c r="Q31" s="187"/>
      <c r="R31" s="212" t="s">
        <v>386</v>
      </c>
      <c r="S31" s="206" t="s">
        <v>377</v>
      </c>
      <c r="T31" s="206" t="s">
        <v>377</v>
      </c>
      <c r="U31" s="187"/>
      <c r="V31" s="187"/>
      <c r="W31" s="187"/>
      <c r="X31" s="169" t="s">
        <v>379</v>
      </c>
      <c r="Y31" s="169" t="s">
        <v>379</v>
      </c>
      <c r="Z31" s="169" t="s">
        <v>379</v>
      </c>
      <c r="AA31" s="169" t="s">
        <v>379</v>
      </c>
      <c r="AB31" s="187"/>
      <c r="AC31" s="190"/>
      <c r="AD31" s="206" t="s">
        <v>375</v>
      </c>
      <c r="AE31" s="206" t="s">
        <v>375</v>
      </c>
      <c r="AF31" s="222" t="s">
        <v>411</v>
      </c>
      <c r="AG31" s="206" t="s">
        <v>375</v>
      </c>
      <c r="AH31" s="190"/>
      <c r="AI31" s="206" t="s">
        <v>375</v>
      </c>
      <c r="AJ31" s="101" t="s">
        <v>397</v>
      </c>
    </row>
    <row r="32" spans="1:36" ht="26.1" customHeight="1">
      <c r="A32" s="156" t="s">
        <v>301</v>
      </c>
      <c r="B32" s="154">
        <f>B31+C31</f>
        <v>7.6076388888888893</v>
      </c>
      <c r="C32" s="155">
        <f>SUM(C33:C38)</f>
        <v>4.0374999999999996</v>
      </c>
      <c r="D32" s="161" t="s">
        <v>302</v>
      </c>
      <c r="E32" s="181"/>
      <c r="F32" s="169" t="s">
        <v>277</v>
      </c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32" t="s">
        <v>87</v>
      </c>
      <c r="S32" s="191"/>
      <c r="T32" s="191"/>
      <c r="U32" s="191"/>
      <c r="V32" s="169" t="s">
        <v>136</v>
      </c>
      <c r="W32" s="169" t="s">
        <v>136</v>
      </c>
      <c r="X32" s="191"/>
      <c r="Y32" s="191"/>
      <c r="Z32" s="191"/>
      <c r="AA32" s="191"/>
      <c r="AB32" s="191"/>
      <c r="AC32" s="191"/>
      <c r="AD32" s="191"/>
      <c r="AE32" s="191"/>
      <c r="AF32" s="222" t="s">
        <v>411</v>
      </c>
      <c r="AG32" s="191"/>
      <c r="AH32" s="191"/>
      <c r="AI32" s="191"/>
      <c r="AJ32" s="102"/>
    </row>
    <row r="33" spans="1:36" ht="26.1" customHeight="1">
      <c r="A33" s="227" t="s">
        <v>303</v>
      </c>
      <c r="B33" s="157">
        <f>B32</f>
        <v>7.6076388888888893</v>
      </c>
      <c r="C33" s="158">
        <v>1.0006944444444446</v>
      </c>
      <c r="D33" s="159" t="s">
        <v>304</v>
      </c>
      <c r="E33" s="181"/>
      <c r="F33" s="169" t="s">
        <v>277</v>
      </c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32" t="s">
        <v>87</v>
      </c>
      <c r="S33" s="193"/>
      <c r="T33" s="193"/>
      <c r="U33" s="193"/>
      <c r="V33" s="169" t="s">
        <v>136</v>
      </c>
      <c r="W33" s="169" t="s">
        <v>136</v>
      </c>
      <c r="X33" s="193"/>
      <c r="Y33" s="193"/>
      <c r="Z33" s="193"/>
      <c r="AA33" s="193"/>
      <c r="AB33" s="193"/>
      <c r="AC33" s="193"/>
      <c r="AD33" s="193"/>
      <c r="AE33" s="193"/>
      <c r="AF33" s="222" t="s">
        <v>411</v>
      </c>
      <c r="AG33" s="193"/>
      <c r="AH33" s="193"/>
      <c r="AI33" s="193"/>
      <c r="AJ33" s="102" t="s">
        <v>403</v>
      </c>
    </row>
    <row r="34" spans="1:36" ht="26.1" customHeight="1">
      <c r="A34" s="227" t="s">
        <v>305</v>
      </c>
      <c r="B34" s="157">
        <f t="shared" ref="B34:B38" si="3">B33+C33</f>
        <v>8.6083333333333343</v>
      </c>
      <c r="C34" s="158">
        <v>1.0034722222222223</v>
      </c>
      <c r="D34" s="159" t="s">
        <v>306</v>
      </c>
      <c r="E34" s="181" t="s">
        <v>348</v>
      </c>
      <c r="F34" s="169" t="s">
        <v>277</v>
      </c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32" t="s">
        <v>87</v>
      </c>
      <c r="S34" s="191"/>
      <c r="T34" s="191"/>
      <c r="U34" s="191"/>
      <c r="V34" s="169" t="s">
        <v>136</v>
      </c>
      <c r="W34" s="169" t="s">
        <v>136</v>
      </c>
      <c r="X34" s="191"/>
      <c r="Y34" s="191"/>
      <c r="Z34" s="191"/>
      <c r="AA34" s="191"/>
      <c r="AB34" s="191"/>
      <c r="AC34" s="191"/>
      <c r="AD34" s="191"/>
      <c r="AE34" s="191"/>
      <c r="AF34" s="222" t="s">
        <v>411</v>
      </c>
      <c r="AG34" s="193"/>
      <c r="AH34" s="193"/>
      <c r="AI34" s="193"/>
      <c r="AJ34" s="102"/>
    </row>
    <row r="35" spans="1:36" ht="26.1" customHeight="1">
      <c r="A35" s="227" t="s">
        <v>307</v>
      </c>
      <c r="B35" s="157">
        <f t="shared" si="3"/>
        <v>9.6118055555555557</v>
      </c>
      <c r="C35" s="158">
        <v>1.3888888888888889E-3</v>
      </c>
      <c r="D35" s="159" t="s">
        <v>308</v>
      </c>
      <c r="E35" s="181"/>
      <c r="F35" s="169" t="s">
        <v>277</v>
      </c>
      <c r="G35" s="193"/>
      <c r="H35" s="193"/>
      <c r="I35" s="191"/>
      <c r="J35" s="191"/>
      <c r="K35" s="193"/>
      <c r="L35" s="193"/>
      <c r="M35" s="193"/>
      <c r="N35" s="193"/>
      <c r="O35" s="193"/>
      <c r="P35" s="193"/>
      <c r="Q35" s="193"/>
      <c r="R35" s="32" t="s">
        <v>87</v>
      </c>
      <c r="S35" s="191"/>
      <c r="T35" s="191"/>
      <c r="U35" s="193"/>
      <c r="V35" s="169" t="s">
        <v>136</v>
      </c>
      <c r="W35" s="169" t="s">
        <v>136</v>
      </c>
      <c r="X35" s="193"/>
      <c r="Y35" s="193"/>
      <c r="Z35" s="193"/>
      <c r="AA35" s="193"/>
      <c r="AB35" s="193"/>
      <c r="AC35" s="193"/>
      <c r="AD35" s="191"/>
      <c r="AE35" s="191"/>
      <c r="AF35" s="222" t="s">
        <v>411</v>
      </c>
      <c r="AG35" s="193"/>
      <c r="AH35" s="193"/>
      <c r="AI35" s="193"/>
      <c r="AJ35" s="102"/>
    </row>
    <row r="36" spans="1:36" ht="26.1" customHeight="1">
      <c r="A36" s="227" t="s">
        <v>309</v>
      </c>
      <c r="B36" s="157">
        <f t="shared" si="3"/>
        <v>9.6131944444444439</v>
      </c>
      <c r="C36" s="158">
        <v>2.4305555555555556E-2</v>
      </c>
      <c r="D36" s="159" t="s">
        <v>310</v>
      </c>
      <c r="E36" s="181" t="s">
        <v>367</v>
      </c>
      <c r="F36" s="169" t="s">
        <v>277</v>
      </c>
      <c r="G36" s="191"/>
      <c r="H36" s="191"/>
      <c r="I36" s="56" t="s">
        <v>106</v>
      </c>
      <c r="J36" s="56" t="s">
        <v>106</v>
      </c>
      <c r="K36" s="191"/>
      <c r="L36" s="191"/>
      <c r="M36" s="191"/>
      <c r="N36" s="191"/>
      <c r="O36" s="191"/>
      <c r="P36" s="191"/>
      <c r="Q36" s="191"/>
      <c r="R36" s="32" t="s">
        <v>87</v>
      </c>
      <c r="S36" s="56" t="s">
        <v>106</v>
      </c>
      <c r="T36" s="56" t="s">
        <v>106</v>
      </c>
      <c r="U36" s="191"/>
      <c r="V36" s="169" t="s">
        <v>136</v>
      </c>
      <c r="W36" s="169" t="s">
        <v>136</v>
      </c>
      <c r="X36" s="191"/>
      <c r="Y36" s="191"/>
      <c r="Z36" s="191"/>
      <c r="AA36" s="191"/>
      <c r="AB36" s="191"/>
      <c r="AC36" s="191"/>
      <c r="AD36" s="56" t="s">
        <v>106</v>
      </c>
      <c r="AE36" s="56" t="s">
        <v>106</v>
      </c>
      <c r="AF36" s="222" t="s">
        <v>411</v>
      </c>
      <c r="AG36" s="56" t="s">
        <v>106</v>
      </c>
      <c r="AH36" s="193"/>
      <c r="AI36" s="193"/>
      <c r="AJ36" s="102"/>
    </row>
    <row r="37" spans="1:36" ht="43.5" customHeight="1">
      <c r="A37" s="227" t="s">
        <v>311</v>
      </c>
      <c r="B37" s="157">
        <f t="shared" si="3"/>
        <v>9.6374999999999993</v>
      </c>
      <c r="C37" s="158">
        <v>1.0069444444444444</v>
      </c>
      <c r="D37" s="159" t="s">
        <v>312</v>
      </c>
      <c r="E37" s="181" t="s">
        <v>351</v>
      </c>
      <c r="F37" s="169" t="s">
        <v>277</v>
      </c>
      <c r="G37" s="193"/>
      <c r="H37" s="193"/>
      <c r="I37" s="56" t="s">
        <v>106</v>
      </c>
      <c r="J37" s="56" t="s">
        <v>106</v>
      </c>
      <c r="K37" s="208" t="s">
        <v>378</v>
      </c>
      <c r="L37" s="193"/>
      <c r="M37" s="193"/>
      <c r="N37" s="208" t="s">
        <v>378</v>
      </c>
      <c r="O37" s="208" t="s">
        <v>378</v>
      </c>
      <c r="P37" s="208" t="s">
        <v>378</v>
      </c>
      <c r="Q37" s="193"/>
      <c r="R37" s="32" t="s">
        <v>87</v>
      </c>
      <c r="S37" s="56" t="s">
        <v>106</v>
      </c>
      <c r="T37" s="56" t="s">
        <v>106</v>
      </c>
      <c r="U37" s="193"/>
      <c r="V37" s="169" t="s">
        <v>136</v>
      </c>
      <c r="W37" s="169" t="s">
        <v>136</v>
      </c>
      <c r="X37" s="193"/>
      <c r="Y37" s="193"/>
      <c r="Z37" s="193"/>
      <c r="AA37" s="193"/>
      <c r="AB37" s="193"/>
      <c r="AC37" s="193"/>
      <c r="AD37" s="56" t="s">
        <v>106</v>
      </c>
      <c r="AE37" s="56" t="s">
        <v>106</v>
      </c>
      <c r="AF37" s="222" t="s">
        <v>411</v>
      </c>
      <c r="AG37" s="56" t="s">
        <v>106</v>
      </c>
      <c r="AH37" s="193"/>
      <c r="AI37" s="193"/>
      <c r="AJ37" s="102"/>
    </row>
    <row r="38" spans="1:36" ht="43.5" customHeight="1">
      <c r="A38" s="227" t="s">
        <v>313</v>
      </c>
      <c r="B38" s="157">
        <f t="shared" si="3"/>
        <v>10.644444444444444</v>
      </c>
      <c r="C38" s="158">
        <v>1.0006944444444446</v>
      </c>
      <c r="D38" s="159" t="s">
        <v>314</v>
      </c>
      <c r="E38" s="181"/>
      <c r="F38" s="169" t="s">
        <v>277</v>
      </c>
      <c r="G38" s="191"/>
      <c r="H38" s="191"/>
      <c r="I38" s="56" t="s">
        <v>106</v>
      </c>
      <c r="J38" s="56" t="s">
        <v>106</v>
      </c>
      <c r="K38" s="209" t="s">
        <v>380</v>
      </c>
      <c r="L38" s="191"/>
      <c r="M38" s="191"/>
      <c r="N38" s="208" t="s">
        <v>378</v>
      </c>
      <c r="O38" s="208" t="s">
        <v>378</v>
      </c>
      <c r="P38" s="208" t="s">
        <v>378</v>
      </c>
      <c r="Q38" s="191"/>
      <c r="R38" s="32" t="s">
        <v>87</v>
      </c>
      <c r="S38" s="56" t="s">
        <v>106</v>
      </c>
      <c r="T38" s="56" t="s">
        <v>106</v>
      </c>
      <c r="U38" s="191"/>
      <c r="V38" s="169" t="s">
        <v>136</v>
      </c>
      <c r="W38" s="169" t="s">
        <v>136</v>
      </c>
      <c r="X38" s="193"/>
      <c r="Y38" s="193"/>
      <c r="Z38" s="193"/>
      <c r="AA38" s="193"/>
      <c r="AB38" s="193"/>
      <c r="AC38" s="193"/>
      <c r="AD38" s="56" t="s">
        <v>106</v>
      </c>
      <c r="AE38" s="136" t="s">
        <v>413</v>
      </c>
      <c r="AF38" s="222" t="s">
        <v>411</v>
      </c>
      <c r="AG38" s="56" t="s">
        <v>106</v>
      </c>
      <c r="AH38" s="193"/>
      <c r="AI38" s="193"/>
      <c r="AJ38" s="102"/>
    </row>
    <row r="39" spans="1:36" ht="43.5" customHeight="1">
      <c r="A39" s="227" t="s">
        <v>313</v>
      </c>
      <c r="B39" s="157">
        <f t="shared" ref="B39:B41" si="4">B38+C38</f>
        <v>11.645138888888889</v>
      </c>
      <c r="C39" s="158">
        <v>1.0027777777777778</v>
      </c>
      <c r="D39" s="159" t="s">
        <v>420</v>
      </c>
      <c r="E39" s="181"/>
      <c r="F39" s="169" t="s">
        <v>277</v>
      </c>
      <c r="G39" s="191"/>
      <c r="H39" s="191"/>
      <c r="I39" s="56" t="s">
        <v>106</v>
      </c>
      <c r="J39" s="56" t="s">
        <v>106</v>
      </c>
      <c r="K39" s="209" t="s">
        <v>380</v>
      </c>
      <c r="L39" s="191"/>
      <c r="M39" s="191"/>
      <c r="N39" s="208" t="s">
        <v>378</v>
      </c>
      <c r="O39" s="208" t="s">
        <v>378</v>
      </c>
      <c r="P39" s="208" t="s">
        <v>378</v>
      </c>
      <c r="Q39" s="191"/>
      <c r="R39" s="32" t="s">
        <v>87</v>
      </c>
      <c r="S39" s="56" t="s">
        <v>106</v>
      </c>
      <c r="T39" s="56" t="s">
        <v>106</v>
      </c>
      <c r="U39" s="191"/>
      <c r="V39" s="169" t="s">
        <v>136</v>
      </c>
      <c r="W39" s="169" t="s">
        <v>136</v>
      </c>
      <c r="X39" s="193"/>
      <c r="Y39" s="193"/>
      <c r="Z39" s="193"/>
      <c r="AA39" s="193"/>
      <c r="AB39" s="193"/>
      <c r="AC39" s="193"/>
      <c r="AD39" s="56" t="s">
        <v>106</v>
      </c>
      <c r="AE39" s="136" t="s">
        <v>413</v>
      </c>
      <c r="AF39" s="222" t="s">
        <v>411</v>
      </c>
      <c r="AG39" s="56" t="s">
        <v>106</v>
      </c>
      <c r="AH39" s="193"/>
      <c r="AI39" s="193"/>
      <c r="AJ39" s="102"/>
    </row>
    <row r="40" spans="1:36" ht="39.950000000000003" customHeight="1" thickBot="1">
      <c r="A40" s="162">
        <v>5</v>
      </c>
      <c r="B40" s="163">
        <f t="shared" si="4"/>
        <v>12.647916666666667</v>
      </c>
      <c r="C40" s="164">
        <v>15.027777777777779</v>
      </c>
      <c r="D40" s="165" t="s">
        <v>315</v>
      </c>
      <c r="E40" s="181" t="s">
        <v>353</v>
      </c>
      <c r="F40" s="169" t="s">
        <v>277</v>
      </c>
      <c r="G40" s="130" t="s">
        <v>111</v>
      </c>
      <c r="H40" s="130" t="s">
        <v>111</v>
      </c>
      <c r="I40" s="206" t="s">
        <v>377</v>
      </c>
      <c r="J40" s="206" t="s">
        <v>377</v>
      </c>
      <c r="K40" s="207" t="s">
        <v>376</v>
      </c>
      <c r="L40" s="130" t="s">
        <v>111</v>
      </c>
      <c r="M40" s="130" t="s">
        <v>111</v>
      </c>
      <c r="N40" s="207" t="s">
        <v>376</v>
      </c>
      <c r="O40" s="207" t="s">
        <v>376</v>
      </c>
      <c r="P40" s="207" t="s">
        <v>376</v>
      </c>
      <c r="Q40" s="130" t="s">
        <v>111</v>
      </c>
      <c r="R40" s="212" t="s">
        <v>386</v>
      </c>
      <c r="S40" s="206" t="s">
        <v>377</v>
      </c>
      <c r="T40" s="206" t="s">
        <v>377</v>
      </c>
      <c r="U40" s="130" t="s">
        <v>111</v>
      </c>
      <c r="V40" s="196"/>
      <c r="W40" s="196"/>
      <c r="X40" s="130" t="s">
        <v>111</v>
      </c>
      <c r="Y40" s="130" t="s">
        <v>111</v>
      </c>
      <c r="Z40" s="130" t="s">
        <v>111</v>
      </c>
      <c r="AA40" s="130" t="s">
        <v>111</v>
      </c>
      <c r="AB40" s="130" t="s">
        <v>111</v>
      </c>
      <c r="AC40" s="130" t="s">
        <v>111</v>
      </c>
      <c r="AD40" s="206" t="s">
        <v>375</v>
      </c>
      <c r="AE40" s="206" t="s">
        <v>375</v>
      </c>
      <c r="AF40" s="222" t="s">
        <v>411</v>
      </c>
      <c r="AG40" s="206" t="s">
        <v>375</v>
      </c>
      <c r="AH40" s="196"/>
      <c r="AI40" s="196"/>
      <c r="AJ40" s="120" t="s">
        <v>127</v>
      </c>
    </row>
    <row r="41" spans="1:36" ht="25.5" customHeight="1">
      <c r="A41" s="156">
        <v>6</v>
      </c>
      <c r="B41" s="154">
        <f t="shared" si="4"/>
        <v>27.675694444444446</v>
      </c>
      <c r="C41" s="155">
        <f>SUM(C42:C47)</f>
        <v>17.020833333333332</v>
      </c>
      <c r="D41" s="161" t="s">
        <v>316</v>
      </c>
      <c r="E41" s="192"/>
      <c r="F41" s="169" t="s">
        <v>277</v>
      </c>
      <c r="G41" s="169" t="s">
        <v>136</v>
      </c>
      <c r="H41" s="169" t="s">
        <v>136</v>
      </c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222" t="s">
        <v>411</v>
      </c>
      <c r="AG41" s="193"/>
      <c r="AH41" s="193"/>
      <c r="AI41" s="193"/>
      <c r="AJ41" s="121" t="s">
        <v>395</v>
      </c>
    </row>
    <row r="42" spans="1:36" ht="25.5" customHeight="1">
      <c r="A42" s="230" t="s">
        <v>422</v>
      </c>
      <c r="B42" s="157">
        <f>B41</f>
        <v>27.675694444444446</v>
      </c>
      <c r="C42" s="158">
        <v>1.0006944444444446</v>
      </c>
      <c r="D42" s="159" t="s">
        <v>317</v>
      </c>
      <c r="E42" s="192"/>
      <c r="F42" s="169" t="s">
        <v>277</v>
      </c>
      <c r="G42" s="169" t="s">
        <v>136</v>
      </c>
      <c r="H42" s="169" t="s">
        <v>136</v>
      </c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222" t="s">
        <v>411</v>
      </c>
      <c r="AG42" s="193"/>
      <c r="AH42" s="32" t="s">
        <v>87</v>
      </c>
      <c r="AI42" s="32" t="s">
        <v>87</v>
      </c>
      <c r="AJ42" s="102" t="s">
        <v>394</v>
      </c>
    </row>
    <row r="43" spans="1:36" ht="25.5" customHeight="1">
      <c r="A43" s="230" t="s">
        <v>423</v>
      </c>
      <c r="B43" s="157">
        <f>B42+C42</f>
        <v>28.676388888888891</v>
      </c>
      <c r="C43" s="158">
        <v>5.0034722222222223</v>
      </c>
      <c r="D43" s="159" t="s">
        <v>318</v>
      </c>
      <c r="E43" s="192"/>
      <c r="F43" s="169" t="s">
        <v>277</v>
      </c>
      <c r="G43" s="169" t="s">
        <v>136</v>
      </c>
      <c r="H43" s="169" t="s">
        <v>136</v>
      </c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222" t="s">
        <v>411</v>
      </c>
      <c r="AG43" s="193"/>
      <c r="AH43" s="32" t="s">
        <v>87</v>
      </c>
      <c r="AI43" s="32" t="s">
        <v>87</v>
      </c>
    </row>
    <row r="44" spans="1:36" ht="25.5" customHeight="1">
      <c r="A44" s="230" t="s">
        <v>424</v>
      </c>
      <c r="B44" s="157">
        <f t="shared" ref="B44:B47" si="5">B43+C43</f>
        <v>33.679861111111116</v>
      </c>
      <c r="C44" s="158">
        <v>2.0833333333333333E-3</v>
      </c>
      <c r="D44" s="159" t="s">
        <v>319</v>
      </c>
      <c r="E44" s="181" t="s">
        <v>348</v>
      </c>
      <c r="F44" s="169" t="s">
        <v>277</v>
      </c>
      <c r="G44" s="169" t="s">
        <v>136</v>
      </c>
      <c r="H44" s="169" t="s">
        <v>136</v>
      </c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222" t="s">
        <v>411</v>
      </c>
      <c r="AG44" s="193"/>
      <c r="AH44" s="32" t="s">
        <v>87</v>
      </c>
      <c r="AI44" s="32" t="s">
        <v>87</v>
      </c>
      <c r="AJ44" s="102"/>
    </row>
    <row r="45" spans="1:36" ht="25.5" customHeight="1">
      <c r="A45" s="230" t="s">
        <v>425</v>
      </c>
      <c r="B45" s="157">
        <f t="shared" si="5"/>
        <v>33.681944444444447</v>
      </c>
      <c r="C45" s="158">
        <v>3.472222222222222E-3</v>
      </c>
      <c r="D45" s="159" t="s">
        <v>320</v>
      </c>
      <c r="E45" s="181" t="s">
        <v>348</v>
      </c>
      <c r="F45" s="169" t="s">
        <v>277</v>
      </c>
      <c r="G45" s="169" t="s">
        <v>136</v>
      </c>
      <c r="H45" s="169" t="s">
        <v>136</v>
      </c>
      <c r="I45" s="193"/>
      <c r="J45" s="193"/>
      <c r="K45" s="193"/>
      <c r="L45" s="193"/>
      <c r="M45" s="186" t="s">
        <v>105</v>
      </c>
      <c r="N45" s="193"/>
      <c r="O45" s="186" t="s">
        <v>105</v>
      </c>
      <c r="P45" s="193"/>
      <c r="Q45" s="193"/>
      <c r="R45" s="193"/>
      <c r="S45" s="186" t="s">
        <v>105</v>
      </c>
      <c r="T45" s="186" t="s">
        <v>105</v>
      </c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222" t="s">
        <v>411</v>
      </c>
      <c r="AG45" s="193"/>
      <c r="AH45" s="32" t="s">
        <v>87</v>
      </c>
      <c r="AI45" s="32" t="s">
        <v>87</v>
      </c>
      <c r="AJ45" s="102"/>
    </row>
    <row r="46" spans="1:36" ht="25.5" customHeight="1">
      <c r="A46" s="230" t="s">
        <v>333</v>
      </c>
      <c r="B46" s="157">
        <f t="shared" si="5"/>
        <v>33.685416666666669</v>
      </c>
      <c r="C46" s="158">
        <v>10.010416666666666</v>
      </c>
      <c r="D46" s="159" t="s">
        <v>321</v>
      </c>
      <c r="E46" s="181" t="s">
        <v>348</v>
      </c>
      <c r="F46" s="169" t="s">
        <v>402</v>
      </c>
      <c r="G46" s="169" t="s">
        <v>402</v>
      </c>
      <c r="H46" s="169" t="s">
        <v>402</v>
      </c>
      <c r="I46" s="186" t="s">
        <v>105</v>
      </c>
      <c r="J46" s="186" t="s">
        <v>105</v>
      </c>
      <c r="K46" s="186" t="s">
        <v>105</v>
      </c>
      <c r="L46" s="186" t="s">
        <v>105</v>
      </c>
      <c r="M46" s="193"/>
      <c r="N46" s="186" t="s">
        <v>105</v>
      </c>
      <c r="O46" s="193"/>
      <c r="P46" s="186" t="s">
        <v>105</v>
      </c>
      <c r="Q46" s="186" t="s">
        <v>105</v>
      </c>
      <c r="R46" s="186" t="s">
        <v>105</v>
      </c>
      <c r="S46" s="193"/>
      <c r="T46" s="193"/>
      <c r="U46" s="186" t="s">
        <v>105</v>
      </c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222" t="s">
        <v>411</v>
      </c>
      <c r="AG46" s="193"/>
      <c r="AH46" s="32" t="s">
        <v>87</v>
      </c>
      <c r="AI46" s="32" t="s">
        <v>87</v>
      </c>
      <c r="AJ46" s="102"/>
    </row>
    <row r="47" spans="1:36" ht="25.5" customHeight="1">
      <c r="A47" s="230" t="s">
        <v>426</v>
      </c>
      <c r="B47" s="157">
        <f t="shared" si="5"/>
        <v>43.695833333333333</v>
      </c>
      <c r="C47" s="158">
        <v>1.0006944444444446</v>
      </c>
      <c r="D47" s="159" t="s">
        <v>322</v>
      </c>
      <c r="E47" s="181" t="s">
        <v>348</v>
      </c>
      <c r="F47" s="169" t="s">
        <v>277</v>
      </c>
      <c r="G47" s="169" t="s">
        <v>136</v>
      </c>
      <c r="H47" s="169" t="s">
        <v>136</v>
      </c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86" t="s">
        <v>105</v>
      </c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222" t="s">
        <v>411</v>
      </c>
      <c r="AG47" s="193"/>
      <c r="AH47" s="32" t="s">
        <v>87</v>
      </c>
      <c r="AI47" s="32" t="s">
        <v>87</v>
      </c>
    </row>
    <row r="48" spans="1:36" ht="25.5" customHeight="1">
      <c r="A48" s="231" t="s">
        <v>427</v>
      </c>
      <c r="B48" s="154">
        <f>B41+C41</f>
        <v>44.696527777777774</v>
      </c>
      <c r="C48" s="155">
        <f>SUM(C49:C52)</f>
        <v>1.0347222222222223</v>
      </c>
      <c r="D48" s="161" t="s">
        <v>323</v>
      </c>
      <c r="E48" s="192"/>
      <c r="F48" s="169" t="s">
        <v>277</v>
      </c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69" t="s">
        <v>136</v>
      </c>
      <c r="U48" s="169" t="s">
        <v>136</v>
      </c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222" t="s">
        <v>411</v>
      </c>
      <c r="AG48" s="193"/>
      <c r="AH48" s="32" t="s">
        <v>87</v>
      </c>
      <c r="AI48" s="32" t="s">
        <v>87</v>
      </c>
    </row>
    <row r="49" spans="1:37" ht="25.5" customHeight="1">
      <c r="A49" s="230" t="s">
        <v>428</v>
      </c>
      <c r="B49" s="157">
        <f>B48</f>
        <v>44.696527777777774</v>
      </c>
      <c r="C49" s="158">
        <v>1.3888888888888889E-3</v>
      </c>
      <c r="D49" s="159" t="s">
        <v>324</v>
      </c>
      <c r="E49" s="181" t="s">
        <v>348</v>
      </c>
      <c r="F49" s="169" t="s">
        <v>277</v>
      </c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69" t="s">
        <v>136</v>
      </c>
      <c r="U49" s="169" t="s">
        <v>136</v>
      </c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222" t="s">
        <v>411</v>
      </c>
      <c r="AG49" s="193"/>
      <c r="AH49" s="32" t="s">
        <v>87</v>
      </c>
      <c r="AI49" s="32" t="s">
        <v>87</v>
      </c>
    </row>
    <row r="50" spans="1:37" ht="25.5" customHeight="1">
      <c r="A50" s="230" t="s">
        <v>429</v>
      </c>
      <c r="B50" s="157">
        <f>B49+C49</f>
        <v>44.697916666666664</v>
      </c>
      <c r="C50" s="158">
        <v>3.125E-2</v>
      </c>
      <c r="D50" s="159" t="s">
        <v>325</v>
      </c>
      <c r="E50" s="181" t="s">
        <v>348</v>
      </c>
      <c r="F50" s="169" t="s">
        <v>277</v>
      </c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69" t="s">
        <v>136</v>
      </c>
      <c r="U50" s="169" t="s">
        <v>136</v>
      </c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222" t="s">
        <v>411</v>
      </c>
      <c r="AG50" s="193"/>
      <c r="AH50" s="32" t="s">
        <v>87</v>
      </c>
      <c r="AI50" s="32" t="s">
        <v>87</v>
      </c>
    </row>
    <row r="51" spans="1:37" ht="43.5" customHeight="1">
      <c r="A51" s="230" t="s">
        <v>430</v>
      </c>
      <c r="B51" s="157">
        <f t="shared" ref="B51:B52" si="6">B50+C50</f>
        <v>44.729166666666664</v>
      </c>
      <c r="C51" s="158">
        <v>1.3888888888888889E-3</v>
      </c>
      <c r="D51" s="159" t="s">
        <v>326</v>
      </c>
      <c r="E51" s="181" t="s">
        <v>368</v>
      </c>
      <c r="F51" s="169" t="s">
        <v>277</v>
      </c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69" t="s">
        <v>136</v>
      </c>
      <c r="U51" s="169" t="s">
        <v>136</v>
      </c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222" t="s">
        <v>411</v>
      </c>
      <c r="AG51" s="193"/>
      <c r="AH51" s="32" t="s">
        <v>86</v>
      </c>
      <c r="AI51" s="32" t="s">
        <v>87</v>
      </c>
    </row>
    <row r="52" spans="1:37" ht="43.5" customHeight="1">
      <c r="A52" s="230" t="s">
        <v>431</v>
      </c>
      <c r="B52" s="157">
        <f t="shared" si="6"/>
        <v>44.730555555555554</v>
      </c>
      <c r="C52" s="158">
        <v>1.0006944444444446</v>
      </c>
      <c r="D52" s="159" t="s">
        <v>327</v>
      </c>
      <c r="E52" s="181" t="s">
        <v>369</v>
      </c>
      <c r="F52" s="169" t="s">
        <v>277</v>
      </c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69" t="s">
        <v>136</v>
      </c>
      <c r="U52" s="169" t="s">
        <v>136</v>
      </c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222" t="s">
        <v>411</v>
      </c>
      <c r="AG52" s="193"/>
      <c r="AH52" s="32" t="s">
        <v>86</v>
      </c>
      <c r="AI52" s="32" t="s">
        <v>87</v>
      </c>
    </row>
    <row r="53" spans="1:37" ht="39.950000000000003" customHeight="1">
      <c r="A53" s="232"/>
      <c r="B53" s="163">
        <f>B48+C48</f>
        <v>45.731249999999996</v>
      </c>
      <c r="C53" s="164">
        <v>1.3888888888888888E-2</v>
      </c>
      <c r="D53" s="165" t="s">
        <v>335</v>
      </c>
      <c r="E53" s="181" t="s">
        <v>353</v>
      </c>
      <c r="F53" s="169" t="s">
        <v>277</v>
      </c>
      <c r="G53" s="130" t="s">
        <v>111</v>
      </c>
      <c r="H53" s="130" t="s">
        <v>111</v>
      </c>
      <c r="I53" s="206" t="s">
        <v>375</v>
      </c>
      <c r="J53" s="206" t="s">
        <v>375</v>
      </c>
      <c r="K53" s="130" t="s">
        <v>111</v>
      </c>
      <c r="L53" s="130" t="s">
        <v>111</v>
      </c>
      <c r="M53" s="130" t="s">
        <v>111</v>
      </c>
      <c r="N53" s="207" t="s">
        <v>376</v>
      </c>
      <c r="O53" s="207" t="s">
        <v>376</v>
      </c>
      <c r="P53" s="130" t="s">
        <v>111</v>
      </c>
      <c r="Q53" s="130" t="s">
        <v>111</v>
      </c>
      <c r="R53" s="212" t="s">
        <v>386</v>
      </c>
      <c r="S53" s="206" t="s">
        <v>375</v>
      </c>
      <c r="T53" s="130" t="s">
        <v>111</v>
      </c>
      <c r="U53" s="130" t="s">
        <v>111</v>
      </c>
      <c r="V53" s="130" t="s">
        <v>111</v>
      </c>
      <c r="W53" s="130" t="s">
        <v>111</v>
      </c>
      <c r="X53" s="206" t="s">
        <v>377</v>
      </c>
      <c r="Y53" s="206" t="s">
        <v>377</v>
      </c>
      <c r="Z53" s="206" t="s">
        <v>377</v>
      </c>
      <c r="AA53" s="130" t="s">
        <v>111</v>
      </c>
      <c r="AB53" s="130" t="s">
        <v>111</v>
      </c>
      <c r="AC53" s="130" t="s">
        <v>111</v>
      </c>
      <c r="AD53" s="206" t="s">
        <v>375</v>
      </c>
      <c r="AE53" s="206" t="s">
        <v>375</v>
      </c>
      <c r="AF53" s="222" t="s">
        <v>411</v>
      </c>
      <c r="AG53" s="206" t="s">
        <v>375</v>
      </c>
      <c r="AH53" s="130" t="s">
        <v>111</v>
      </c>
      <c r="AI53" s="130" t="s">
        <v>111</v>
      </c>
    </row>
    <row r="54" spans="1:37" ht="26.1" customHeight="1">
      <c r="A54" s="231" t="s">
        <v>432</v>
      </c>
      <c r="B54" s="154">
        <f>B53+C53</f>
        <v>45.745138888888881</v>
      </c>
      <c r="C54" s="155">
        <f>SUM(C55:C58)</f>
        <v>10.045833333333333</v>
      </c>
      <c r="D54" s="161" t="s">
        <v>328</v>
      </c>
      <c r="E54" s="181"/>
      <c r="F54" s="169" t="s">
        <v>277</v>
      </c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222" t="s">
        <v>411</v>
      </c>
      <c r="AG54" s="193"/>
      <c r="AH54" s="193"/>
      <c r="AI54" s="193"/>
      <c r="AK54" s="77" t="s">
        <v>156</v>
      </c>
    </row>
    <row r="55" spans="1:37" ht="26.1" customHeight="1">
      <c r="A55" s="230" t="s">
        <v>433</v>
      </c>
      <c r="B55" s="157">
        <f>B54</f>
        <v>45.745138888888881</v>
      </c>
      <c r="C55" s="228">
        <v>10.000694444444445</v>
      </c>
      <c r="D55" s="159" t="s">
        <v>421</v>
      </c>
      <c r="E55" s="181" t="s">
        <v>348</v>
      </c>
      <c r="F55" s="169" t="s">
        <v>277</v>
      </c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222" t="s">
        <v>411</v>
      </c>
      <c r="AG55" s="193"/>
      <c r="AH55" s="193"/>
      <c r="AI55" s="193"/>
    </row>
    <row r="56" spans="1:37" ht="26.1" customHeight="1">
      <c r="A56" s="230" t="s">
        <v>434</v>
      </c>
      <c r="B56" s="157">
        <f>B55+C55</f>
        <v>55.745833333333323</v>
      </c>
      <c r="C56" s="158">
        <v>3.4722222222222224E-2</v>
      </c>
      <c r="D56" s="159" t="s">
        <v>330</v>
      </c>
      <c r="E56" s="181" t="s">
        <v>348</v>
      </c>
      <c r="F56" s="169" t="s">
        <v>277</v>
      </c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222" t="s">
        <v>411</v>
      </c>
      <c r="AG56" s="193"/>
      <c r="AH56" s="193"/>
      <c r="AI56" s="193"/>
    </row>
    <row r="57" spans="1:37" ht="26.1" customHeight="1">
      <c r="A57" s="230" t="s">
        <v>435</v>
      </c>
      <c r="B57" s="157">
        <f>B56+C56</f>
        <v>55.780555555555544</v>
      </c>
      <c r="C57" s="158">
        <v>6.9444444444444441E-3</v>
      </c>
      <c r="D57" s="159" t="s">
        <v>329</v>
      </c>
      <c r="E57" s="181" t="s">
        <v>348</v>
      </c>
      <c r="F57" s="169" t="s">
        <v>277</v>
      </c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222" t="s">
        <v>411</v>
      </c>
      <c r="AG57" s="193"/>
      <c r="AH57" s="193"/>
      <c r="AI57" s="193"/>
    </row>
    <row r="58" spans="1:37" ht="26.1" customHeight="1">
      <c r="A58" s="230" t="s">
        <v>436</v>
      </c>
      <c r="B58" s="157">
        <f>B57+C57</f>
        <v>55.787499999999987</v>
      </c>
      <c r="C58" s="158">
        <v>3.472222222222222E-3</v>
      </c>
      <c r="D58" s="159" t="s">
        <v>331</v>
      </c>
      <c r="E58" s="192"/>
      <c r="F58" s="169" t="s">
        <v>277</v>
      </c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222" t="s">
        <v>411</v>
      </c>
      <c r="AG58" s="193"/>
      <c r="AH58" s="193"/>
      <c r="AI58" s="193"/>
    </row>
    <row r="59" spans="1:37" ht="26.1" customHeight="1">
      <c r="A59" s="156">
        <v>9</v>
      </c>
      <c r="B59" s="154">
        <f>B54+C54</f>
        <v>55.790972222222216</v>
      </c>
      <c r="C59" s="155">
        <v>6.9444444444444441E-3</v>
      </c>
      <c r="D59" s="161" t="s">
        <v>332</v>
      </c>
      <c r="E59" s="192"/>
      <c r="F59" s="169" t="s">
        <v>277</v>
      </c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69" t="s">
        <v>381</v>
      </c>
      <c r="S59" s="193"/>
      <c r="T59" s="193"/>
      <c r="U59" s="193"/>
      <c r="V59" s="169" t="s">
        <v>381</v>
      </c>
      <c r="W59" s="193"/>
      <c r="X59" s="193"/>
      <c r="Y59" s="193"/>
      <c r="Z59" s="193"/>
      <c r="AA59" s="193"/>
      <c r="AB59" s="193"/>
      <c r="AC59" s="193"/>
      <c r="AD59" s="193"/>
      <c r="AE59" s="193"/>
      <c r="AF59" s="222" t="s">
        <v>411</v>
      </c>
      <c r="AG59" s="193"/>
      <c r="AH59" s="193"/>
      <c r="AI59" s="193"/>
    </row>
    <row r="60" spans="1:37" ht="105" customHeight="1" thickBot="1">
      <c r="A60" s="230" t="s">
        <v>437</v>
      </c>
      <c r="B60" s="229">
        <f>B59+C59</f>
        <v>55.797916666666659</v>
      </c>
      <c r="C60" s="233"/>
      <c r="D60" s="234" t="s">
        <v>334</v>
      </c>
      <c r="E60" s="181" t="s">
        <v>354</v>
      </c>
      <c r="F60" s="194" t="s">
        <v>151</v>
      </c>
      <c r="G60" s="194" t="s">
        <v>385</v>
      </c>
      <c r="H60" s="194" t="s">
        <v>385</v>
      </c>
      <c r="I60" s="210" t="s">
        <v>382</v>
      </c>
      <c r="J60" s="194" t="s">
        <v>384</v>
      </c>
      <c r="K60" s="194" t="s">
        <v>384</v>
      </c>
      <c r="L60" s="194" t="s">
        <v>384</v>
      </c>
      <c r="M60" s="194" t="s">
        <v>384</v>
      </c>
      <c r="N60" s="194" t="s">
        <v>385</v>
      </c>
      <c r="O60" s="194" t="s">
        <v>385</v>
      </c>
      <c r="P60" s="194" t="s">
        <v>385</v>
      </c>
      <c r="Q60" s="194" t="s">
        <v>385</v>
      </c>
      <c r="R60" s="210" t="s">
        <v>382</v>
      </c>
      <c r="S60" s="194" t="s">
        <v>385</v>
      </c>
      <c r="T60" s="194" t="s">
        <v>385</v>
      </c>
      <c r="U60" s="210" t="s">
        <v>382</v>
      </c>
      <c r="V60" s="210" t="s">
        <v>382</v>
      </c>
      <c r="W60" s="210" t="s">
        <v>382</v>
      </c>
      <c r="X60" s="194" t="s">
        <v>385</v>
      </c>
      <c r="Y60" s="194" t="s">
        <v>385</v>
      </c>
      <c r="Z60" s="194" t="s">
        <v>385</v>
      </c>
      <c r="AA60" s="210" t="s">
        <v>382</v>
      </c>
      <c r="AB60" s="194" t="s">
        <v>385</v>
      </c>
      <c r="AC60" s="194" t="s">
        <v>385</v>
      </c>
      <c r="AD60" s="195" t="s">
        <v>151</v>
      </c>
      <c r="AE60" s="195" t="s">
        <v>151</v>
      </c>
      <c r="AF60" s="195" t="s">
        <v>393</v>
      </c>
      <c r="AG60" s="195" t="s">
        <v>393</v>
      </c>
      <c r="AH60" s="211" t="s">
        <v>383</v>
      </c>
      <c r="AI60" s="211" t="s">
        <v>383</v>
      </c>
      <c r="AJ60" s="102" t="s">
        <v>392</v>
      </c>
    </row>
  </sheetData>
  <phoneticPr fontId="47"/>
  <pageMargins left="0.70866141732283472" right="0.70866141732283472" top="0.74803149606299213" bottom="0.74803149606299213" header="0.31496062992125984" footer="0.31496062992125984"/>
  <pageSetup paperSize="9" orientation="portrait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8C02-EDFB-4D79-BD20-A1EB0F0D1BB0}">
  <sheetPr>
    <pageSetUpPr fitToPage="1"/>
  </sheetPr>
  <dimension ref="A2:AI51"/>
  <sheetViews>
    <sheetView topLeftCell="B1" zoomScale="85" zoomScaleNormal="85" zoomScalePageLayoutView="64" workbookViewId="0">
      <pane xSplit="4" ySplit="4" topLeftCell="F23" activePane="bottomRight" state="frozenSplit"/>
      <selection pane="topRight" activeCell="I1" sqref="I1"/>
      <selection pane="bottomLeft" activeCell="B12" sqref="B12"/>
      <selection pane="bottomRight" activeCell="AD28" sqref="W28:AD28"/>
    </sheetView>
  </sheetViews>
  <sheetFormatPr defaultColWidth="9" defaultRowHeight="13.5"/>
  <cols>
    <col min="1" max="1" width="6" style="3" customWidth="1"/>
    <col min="2" max="2" width="8.5" style="3" bestFit="1" customWidth="1"/>
    <col min="3" max="3" width="7.125" style="3" customWidth="1"/>
    <col min="4" max="4" width="29.5" style="3" customWidth="1"/>
    <col min="5" max="5" width="24.5" style="3" customWidth="1"/>
    <col min="6" max="33" width="9.125" style="3" customWidth="1"/>
    <col min="34" max="34" width="113" style="3" customWidth="1"/>
    <col min="35" max="16384" width="9" style="3"/>
  </cols>
  <sheetData>
    <row r="2" spans="1:34" ht="26.25" customHeight="1">
      <c r="A2" s="1" t="s">
        <v>0</v>
      </c>
      <c r="B2" s="2"/>
      <c r="C2" s="2"/>
      <c r="E2" s="77" t="s">
        <v>1</v>
      </c>
    </row>
    <row r="3" spans="1:34" ht="26.25" customHeight="1" thickBot="1">
      <c r="A3" s="5" t="s">
        <v>2</v>
      </c>
      <c r="B3" s="6"/>
      <c r="C3" s="2"/>
      <c r="F3" s="4"/>
      <c r="G3" s="133" t="s">
        <v>3</v>
      </c>
      <c r="I3" s="133" t="s">
        <v>3</v>
      </c>
      <c r="W3" s="133" t="s">
        <v>4</v>
      </c>
      <c r="Z3" s="133" t="s">
        <v>4</v>
      </c>
      <c r="AA3" s="133" t="s">
        <v>3</v>
      </c>
      <c r="AC3" s="133" t="s">
        <v>4</v>
      </c>
      <c r="AE3" s="133" t="s">
        <v>3</v>
      </c>
    </row>
    <row r="4" spans="1:34" s="4" customFormat="1" ht="18.95" customHeight="1">
      <c r="A4" s="7" t="s">
        <v>5</v>
      </c>
      <c r="B4" s="8" t="s">
        <v>6</v>
      </c>
      <c r="C4" s="9"/>
      <c r="D4" s="9" t="s">
        <v>7</v>
      </c>
      <c r="E4" s="10"/>
      <c r="F4" s="98" t="s">
        <v>8</v>
      </c>
      <c r="G4" s="98" t="s">
        <v>9</v>
      </c>
      <c r="H4" s="98" t="s">
        <v>10</v>
      </c>
      <c r="I4" s="98" t="s">
        <v>11</v>
      </c>
      <c r="J4" s="98" t="s">
        <v>12</v>
      </c>
      <c r="K4" s="98" t="s">
        <v>13</v>
      </c>
      <c r="L4" s="98" t="s">
        <v>14</v>
      </c>
      <c r="M4" s="98" t="s">
        <v>15</v>
      </c>
      <c r="N4" s="135" t="s">
        <v>16</v>
      </c>
      <c r="O4" s="135" t="s">
        <v>17</v>
      </c>
      <c r="P4" s="135" t="s">
        <v>18</v>
      </c>
      <c r="Q4" s="134" t="s">
        <v>276</v>
      </c>
      <c r="R4" s="134" t="s">
        <v>19</v>
      </c>
      <c r="S4" s="134" t="s">
        <v>20</v>
      </c>
      <c r="T4" s="135" t="s">
        <v>267</v>
      </c>
      <c r="U4" s="135" t="s">
        <v>268</v>
      </c>
      <c r="V4" s="134" t="s">
        <v>269</v>
      </c>
      <c r="W4" s="135" t="s">
        <v>272</v>
      </c>
      <c r="X4" s="135" t="s">
        <v>21</v>
      </c>
      <c r="Y4" s="135" t="s">
        <v>270</v>
      </c>
      <c r="Z4" s="135" t="s">
        <v>271</v>
      </c>
      <c r="AA4" s="135" t="s">
        <v>22</v>
      </c>
      <c r="AB4" s="135" t="s">
        <v>274</v>
      </c>
      <c r="AC4" s="135" t="s">
        <v>273</v>
      </c>
      <c r="AD4" s="135" t="s">
        <v>23</v>
      </c>
      <c r="AE4" s="98" t="s">
        <v>24</v>
      </c>
      <c r="AF4" s="98" t="s">
        <v>25</v>
      </c>
      <c r="AG4" s="98" t="s">
        <v>26</v>
      </c>
      <c r="AH4" s="3"/>
    </row>
    <row r="5" spans="1:34" ht="18.95" customHeight="1">
      <c r="A5" s="12"/>
      <c r="B5" s="13"/>
      <c r="C5" s="14"/>
      <c r="D5" s="15"/>
      <c r="E5" s="16" t="s">
        <v>27</v>
      </c>
      <c r="F5" s="17" t="s">
        <v>28</v>
      </c>
      <c r="G5" s="18" t="s">
        <v>28</v>
      </c>
      <c r="H5" s="18" t="s">
        <v>28</v>
      </c>
      <c r="I5" s="18" t="s">
        <v>28</v>
      </c>
      <c r="J5" s="18" t="s">
        <v>28</v>
      </c>
      <c r="K5" s="18" t="s">
        <v>28</v>
      </c>
      <c r="L5" s="18" t="s">
        <v>28</v>
      </c>
      <c r="M5" s="18" t="s">
        <v>28</v>
      </c>
      <c r="N5" s="18" t="s">
        <v>28</v>
      </c>
      <c r="O5" s="18" t="s">
        <v>28</v>
      </c>
      <c r="P5" s="18" t="s">
        <v>28</v>
      </c>
      <c r="Q5" s="18"/>
      <c r="R5" s="18" t="s">
        <v>28</v>
      </c>
      <c r="S5" s="18" t="s">
        <v>28</v>
      </c>
      <c r="T5" s="18" t="s">
        <v>28</v>
      </c>
      <c r="U5" s="18" t="s">
        <v>28</v>
      </c>
      <c r="V5" s="18" t="s">
        <v>28</v>
      </c>
      <c r="W5" s="18" t="s">
        <v>28</v>
      </c>
      <c r="X5" s="18" t="s">
        <v>28</v>
      </c>
      <c r="Y5" s="18" t="s">
        <v>28</v>
      </c>
      <c r="Z5" s="18" t="s">
        <v>28</v>
      </c>
      <c r="AA5" s="18" t="s">
        <v>28</v>
      </c>
      <c r="AB5" s="18" t="s">
        <v>28</v>
      </c>
      <c r="AC5" s="18" t="s">
        <v>28</v>
      </c>
      <c r="AD5" s="18" t="s">
        <v>28</v>
      </c>
      <c r="AE5" s="18" t="s">
        <v>28</v>
      </c>
      <c r="AF5" s="18" t="s">
        <v>28</v>
      </c>
      <c r="AG5" s="17" t="s">
        <v>28</v>
      </c>
    </row>
    <row r="6" spans="1:34" ht="24.95" customHeight="1">
      <c r="A6" s="19"/>
      <c r="B6" s="20"/>
      <c r="C6" s="21"/>
      <c r="D6" s="15"/>
      <c r="E6" s="16" t="s">
        <v>29</v>
      </c>
      <c r="F6" s="22" t="s">
        <v>30</v>
      </c>
      <c r="G6" s="22" t="s">
        <v>30</v>
      </c>
      <c r="H6" s="22" t="s">
        <v>31</v>
      </c>
      <c r="I6" s="22" t="s">
        <v>31</v>
      </c>
      <c r="J6" s="22" t="s">
        <v>31</v>
      </c>
      <c r="K6" s="22" t="s">
        <v>32</v>
      </c>
      <c r="L6" s="22" t="s">
        <v>33</v>
      </c>
      <c r="M6" s="22" t="s">
        <v>34</v>
      </c>
      <c r="N6" s="22" t="s">
        <v>35</v>
      </c>
      <c r="O6" s="22" t="s">
        <v>35</v>
      </c>
      <c r="P6" s="22" t="s">
        <v>35</v>
      </c>
      <c r="Q6" s="137" t="s">
        <v>136</v>
      </c>
      <c r="R6" s="100"/>
      <c r="S6" s="100"/>
      <c r="T6" s="100"/>
      <c r="U6" s="100"/>
      <c r="V6" s="137" t="s">
        <v>136</v>
      </c>
      <c r="W6" s="22" t="s">
        <v>30</v>
      </c>
      <c r="X6" s="22" t="s">
        <v>30</v>
      </c>
      <c r="Y6" s="100"/>
      <c r="Z6" s="22" t="s">
        <v>35</v>
      </c>
      <c r="AA6" s="22" t="s">
        <v>35</v>
      </c>
      <c r="AB6" s="100" t="s">
        <v>36</v>
      </c>
      <c r="AC6" s="22" t="s">
        <v>37</v>
      </c>
      <c r="AD6" s="22" t="s">
        <v>37</v>
      </c>
      <c r="AE6" s="18" t="s">
        <v>38</v>
      </c>
      <c r="AF6" s="18" t="s">
        <v>38</v>
      </c>
      <c r="AG6" s="18" t="s">
        <v>38</v>
      </c>
    </row>
    <row r="7" spans="1:34" ht="21.95" customHeight="1">
      <c r="A7" s="23"/>
      <c r="B7" s="24">
        <v>0.375</v>
      </c>
      <c r="C7" s="25"/>
      <c r="D7" s="141" t="s">
        <v>39</v>
      </c>
      <c r="E7" s="141" t="s">
        <v>40</v>
      </c>
      <c r="F7" s="27" t="s">
        <v>41</v>
      </c>
      <c r="G7" s="26"/>
      <c r="H7" s="26"/>
      <c r="I7" s="26"/>
      <c r="J7" s="27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7" t="s">
        <v>41</v>
      </c>
      <c r="AF7" s="26"/>
      <c r="AG7" s="27" t="s">
        <v>41</v>
      </c>
    </row>
    <row r="8" spans="1:34" ht="18.95" customHeight="1">
      <c r="A8" s="23"/>
      <c r="B8" s="24">
        <v>0.375</v>
      </c>
      <c r="C8" s="25"/>
      <c r="D8" s="142" t="s">
        <v>42</v>
      </c>
      <c r="E8" s="142" t="s">
        <v>43</v>
      </c>
      <c r="F8" s="27"/>
      <c r="G8" s="27" t="s">
        <v>41</v>
      </c>
      <c r="H8" s="27" t="s">
        <v>41</v>
      </c>
      <c r="I8" s="27" t="s">
        <v>41</v>
      </c>
      <c r="J8" s="27" t="s">
        <v>41</v>
      </c>
      <c r="K8" s="27" t="s">
        <v>41</v>
      </c>
      <c r="L8" s="27" t="s">
        <v>41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 t="s">
        <v>41</v>
      </c>
      <c r="X8" s="27" t="s">
        <v>41</v>
      </c>
      <c r="Y8" s="27"/>
      <c r="Z8" s="27" t="s">
        <v>41</v>
      </c>
      <c r="AA8" s="27" t="s">
        <v>41</v>
      </c>
      <c r="AB8" s="27" t="s">
        <v>41</v>
      </c>
      <c r="AC8" s="27" t="s">
        <v>41</v>
      </c>
      <c r="AD8" s="27" t="s">
        <v>41</v>
      </c>
      <c r="AE8" s="27"/>
      <c r="AF8" s="27"/>
      <c r="AG8" s="27"/>
    </row>
    <row r="9" spans="1:34" ht="30" customHeight="1">
      <c r="A9" s="28"/>
      <c r="B9" s="29">
        <v>0.40625</v>
      </c>
      <c r="C9" s="30"/>
      <c r="D9" s="143" t="s">
        <v>44</v>
      </c>
      <c r="E9" s="31" t="s">
        <v>45</v>
      </c>
      <c r="F9" s="32" t="s">
        <v>46</v>
      </c>
      <c r="G9" s="32" t="s">
        <v>46</v>
      </c>
      <c r="H9" s="32" t="s">
        <v>46</v>
      </c>
      <c r="I9" s="32" t="s">
        <v>46</v>
      </c>
      <c r="J9" s="32" t="s">
        <v>46</v>
      </c>
      <c r="K9" s="32" t="s">
        <v>46</v>
      </c>
      <c r="L9" s="32" t="s">
        <v>46</v>
      </c>
      <c r="M9" s="32" t="s">
        <v>46</v>
      </c>
      <c r="N9" s="32" t="s">
        <v>46</v>
      </c>
      <c r="O9" s="32" t="s">
        <v>46</v>
      </c>
      <c r="P9" s="32" t="s">
        <v>46</v>
      </c>
      <c r="Q9" s="32" t="s">
        <v>46</v>
      </c>
      <c r="R9" s="32" t="s">
        <v>46</v>
      </c>
      <c r="S9" s="32" t="s">
        <v>46</v>
      </c>
      <c r="T9" s="32" t="s">
        <v>47</v>
      </c>
      <c r="U9" s="32" t="s">
        <v>47</v>
      </c>
      <c r="V9" s="32" t="s">
        <v>47</v>
      </c>
      <c r="W9" s="32" t="s">
        <v>47</v>
      </c>
      <c r="X9" s="32" t="s">
        <v>47</v>
      </c>
      <c r="Y9" s="32" t="s">
        <v>47</v>
      </c>
      <c r="Z9" s="32" t="s">
        <v>47</v>
      </c>
      <c r="AA9" s="32" t="s">
        <v>47</v>
      </c>
      <c r="AB9" s="32" t="s">
        <v>47</v>
      </c>
      <c r="AC9" s="32" t="s">
        <v>47</v>
      </c>
      <c r="AD9" s="32" t="s">
        <v>47</v>
      </c>
      <c r="AE9" s="32" t="s">
        <v>47</v>
      </c>
      <c r="AF9" s="32" t="s">
        <v>47</v>
      </c>
      <c r="AG9" s="32" t="s">
        <v>47</v>
      </c>
    </row>
    <row r="10" spans="1:34" ht="30" customHeight="1">
      <c r="A10" s="33"/>
      <c r="B10" s="34"/>
      <c r="C10" s="35"/>
      <c r="D10" s="143" t="s">
        <v>48</v>
      </c>
      <c r="E10" s="31" t="s">
        <v>49</v>
      </c>
      <c r="F10" s="99"/>
      <c r="G10" s="99"/>
      <c r="H10" s="32" t="s">
        <v>50</v>
      </c>
      <c r="I10" s="32" t="s">
        <v>50</v>
      </c>
      <c r="J10" s="32" t="s">
        <v>50</v>
      </c>
      <c r="K10" s="99"/>
      <c r="L10" s="99"/>
      <c r="M10" s="99"/>
      <c r="N10" s="99"/>
      <c r="O10" s="99"/>
      <c r="P10" s="99"/>
      <c r="Q10" s="137" t="s">
        <v>277</v>
      </c>
      <c r="R10" s="99"/>
      <c r="S10" s="99"/>
      <c r="T10" s="99"/>
      <c r="U10" s="99"/>
      <c r="V10" s="137" t="s">
        <v>277</v>
      </c>
      <c r="W10" s="99"/>
      <c r="X10" s="99"/>
      <c r="Y10" s="99"/>
      <c r="Z10" s="99"/>
      <c r="AA10" s="99"/>
      <c r="AB10" s="99"/>
      <c r="AD10" s="99"/>
      <c r="AE10" s="32" t="s">
        <v>51</v>
      </c>
      <c r="AF10" s="32" t="s">
        <v>51</v>
      </c>
      <c r="AG10" s="32" t="s">
        <v>51</v>
      </c>
    </row>
    <row r="11" spans="1:34" ht="30" customHeight="1">
      <c r="A11" s="33"/>
      <c r="B11" s="34"/>
      <c r="C11" s="35"/>
      <c r="D11" s="143" t="s">
        <v>52</v>
      </c>
      <c r="E11" s="36" t="s">
        <v>53</v>
      </c>
      <c r="F11" s="100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37" t="s">
        <v>277</v>
      </c>
      <c r="R11" s="99"/>
      <c r="S11" s="99"/>
      <c r="T11" s="99"/>
      <c r="U11" s="99"/>
      <c r="V11" s="137" t="s">
        <v>277</v>
      </c>
      <c r="W11" s="99"/>
      <c r="X11" s="99"/>
      <c r="Y11" s="99"/>
      <c r="Z11" s="99"/>
      <c r="AA11" s="99"/>
      <c r="AB11" s="99"/>
      <c r="AC11" s="99"/>
      <c r="AD11" s="99"/>
      <c r="AE11" s="99"/>
      <c r="AF11" s="100"/>
      <c r="AG11" s="99"/>
    </row>
    <row r="12" spans="1:34" ht="30" customHeight="1">
      <c r="A12" s="33"/>
      <c r="B12" s="34"/>
      <c r="C12" s="35"/>
      <c r="D12" s="143" t="s">
        <v>54</v>
      </c>
      <c r="E12" s="31" t="s">
        <v>55</v>
      </c>
      <c r="F12" s="99"/>
      <c r="G12" s="99"/>
      <c r="H12" s="99"/>
      <c r="I12" s="99"/>
      <c r="J12" s="32" t="s">
        <v>56</v>
      </c>
      <c r="K12" s="32" t="s">
        <v>56</v>
      </c>
      <c r="L12" s="99"/>
      <c r="M12" s="99"/>
      <c r="N12" s="99"/>
      <c r="O12" s="99"/>
      <c r="P12" s="99"/>
      <c r="Q12" s="137" t="s">
        <v>277</v>
      </c>
      <c r="R12" s="99"/>
      <c r="S12" s="99"/>
      <c r="T12" s="99"/>
      <c r="U12" s="99"/>
      <c r="V12" s="137" t="s">
        <v>277</v>
      </c>
      <c r="W12" s="99"/>
      <c r="X12" s="99"/>
      <c r="Y12" s="99"/>
      <c r="Z12" s="99"/>
      <c r="AA12" s="99"/>
      <c r="AB12" s="99"/>
      <c r="AC12" s="99"/>
      <c r="AD12" s="32" t="s">
        <v>57</v>
      </c>
      <c r="AE12" s="32" t="s">
        <v>57</v>
      </c>
      <c r="AF12" s="99"/>
      <c r="AG12" s="99"/>
    </row>
    <row r="13" spans="1:34" ht="30" customHeight="1">
      <c r="A13" s="33"/>
      <c r="B13" s="34"/>
      <c r="C13" s="35"/>
      <c r="D13" s="132" t="s">
        <v>58</v>
      </c>
      <c r="E13" s="31" t="s">
        <v>59</v>
      </c>
      <c r="F13" s="32" t="s">
        <v>60</v>
      </c>
      <c r="G13" s="32" t="s">
        <v>60</v>
      </c>
      <c r="H13" s="32" t="s">
        <v>60</v>
      </c>
      <c r="I13" s="32" t="s">
        <v>60</v>
      </c>
      <c r="J13" s="32" t="s">
        <v>60</v>
      </c>
      <c r="K13" s="32" t="s">
        <v>60</v>
      </c>
      <c r="L13" s="32" t="s">
        <v>60</v>
      </c>
      <c r="M13" s="32" t="s">
        <v>60</v>
      </c>
      <c r="N13" s="32" t="s">
        <v>60</v>
      </c>
      <c r="O13" s="32" t="s">
        <v>60</v>
      </c>
      <c r="P13" s="32" t="s">
        <v>60</v>
      </c>
      <c r="Q13" s="137" t="s">
        <v>277</v>
      </c>
      <c r="R13" s="32" t="s">
        <v>60</v>
      </c>
      <c r="S13" s="32" t="s">
        <v>60</v>
      </c>
      <c r="T13" s="32" t="s">
        <v>61</v>
      </c>
      <c r="U13" s="32" t="s">
        <v>61</v>
      </c>
      <c r="V13" s="137" t="s">
        <v>277</v>
      </c>
      <c r="W13" s="32" t="s">
        <v>61</v>
      </c>
      <c r="X13" s="32" t="s">
        <v>61</v>
      </c>
      <c r="Y13" s="32" t="s">
        <v>61</v>
      </c>
      <c r="Z13" s="32" t="s">
        <v>61</v>
      </c>
      <c r="AA13" s="32" t="s">
        <v>61</v>
      </c>
      <c r="AB13" s="32" t="s">
        <v>61</v>
      </c>
      <c r="AC13" s="32" t="s">
        <v>61</v>
      </c>
      <c r="AD13" s="32" t="s">
        <v>61</v>
      </c>
      <c r="AE13" s="99"/>
      <c r="AF13" s="99"/>
      <c r="AG13" s="99"/>
    </row>
    <row r="14" spans="1:34" ht="41.25" customHeight="1">
      <c r="A14" s="33"/>
      <c r="B14" s="34"/>
      <c r="C14" s="35"/>
      <c r="D14" s="143" t="s">
        <v>62</v>
      </c>
      <c r="E14" s="31" t="s">
        <v>63</v>
      </c>
      <c r="F14" s="99"/>
      <c r="G14" s="99"/>
      <c r="H14" s="32" t="s">
        <v>64</v>
      </c>
      <c r="I14" s="32" t="s">
        <v>64</v>
      </c>
      <c r="J14" s="32" t="s">
        <v>64</v>
      </c>
      <c r="K14" s="32" t="s">
        <v>64</v>
      </c>
      <c r="L14" s="99"/>
      <c r="M14" s="99"/>
      <c r="N14" s="99"/>
      <c r="O14" s="99"/>
      <c r="P14" s="99"/>
      <c r="Q14" s="137" t="s">
        <v>277</v>
      </c>
      <c r="R14" s="99"/>
      <c r="S14" s="99"/>
      <c r="T14" s="99"/>
      <c r="U14" s="99"/>
      <c r="V14" s="137" t="s">
        <v>277</v>
      </c>
      <c r="W14" s="99"/>
      <c r="X14" s="99"/>
      <c r="Y14" s="99"/>
      <c r="Z14" s="99"/>
      <c r="AA14" s="99"/>
      <c r="AB14" s="129" t="s">
        <v>65</v>
      </c>
      <c r="AC14" s="129" t="s">
        <v>66</v>
      </c>
      <c r="AD14" s="129" t="s">
        <v>65</v>
      </c>
      <c r="AE14" s="32" t="s">
        <v>67</v>
      </c>
      <c r="AF14" s="32" t="s">
        <v>67</v>
      </c>
      <c r="AG14" s="32" t="s">
        <v>67</v>
      </c>
    </row>
    <row r="15" spans="1:34" ht="30" customHeight="1">
      <c r="A15" s="38"/>
      <c r="B15" s="39" t="s">
        <v>68</v>
      </c>
      <c r="C15" s="40" t="s">
        <v>69</v>
      </c>
      <c r="D15" s="144" t="s">
        <v>70</v>
      </c>
      <c r="E15" s="144" t="s">
        <v>71</v>
      </c>
      <c r="F15" s="41" t="s">
        <v>72</v>
      </c>
      <c r="G15" s="41" t="s">
        <v>72</v>
      </c>
      <c r="H15" s="42" t="s">
        <v>72</v>
      </c>
      <c r="I15" s="41" t="s">
        <v>72</v>
      </c>
      <c r="J15" s="41" t="s">
        <v>72</v>
      </c>
      <c r="K15" s="41" t="s">
        <v>72</v>
      </c>
      <c r="L15" s="41" t="s">
        <v>72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 t="s">
        <v>72</v>
      </c>
      <c r="X15" s="41" t="s">
        <v>72</v>
      </c>
      <c r="Y15" s="41"/>
      <c r="Z15" s="41" t="s">
        <v>72</v>
      </c>
      <c r="AA15" s="41" t="s">
        <v>72</v>
      </c>
      <c r="AB15" s="41" t="s">
        <v>72</v>
      </c>
      <c r="AC15" s="41" t="s">
        <v>72</v>
      </c>
      <c r="AD15" s="41" t="s">
        <v>72</v>
      </c>
      <c r="AE15" s="41" t="s">
        <v>72</v>
      </c>
      <c r="AF15" s="41" t="s">
        <v>72</v>
      </c>
      <c r="AG15" s="41" t="s">
        <v>72</v>
      </c>
    </row>
    <row r="16" spans="1:34" ht="30" customHeight="1" thickBot="1">
      <c r="A16" s="23"/>
      <c r="B16" s="39"/>
      <c r="C16" s="40"/>
      <c r="D16" s="145"/>
      <c r="E16" s="146"/>
      <c r="F16" s="26"/>
      <c r="G16" s="43"/>
      <c r="H16" s="43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1:34" s="4" customFormat="1" ht="26.25" customHeight="1">
      <c r="A17" s="7" t="s">
        <v>5</v>
      </c>
      <c r="B17" s="8" t="s">
        <v>6</v>
      </c>
      <c r="C17" s="9"/>
      <c r="D17" s="9" t="s">
        <v>7</v>
      </c>
      <c r="E17" s="10"/>
      <c r="F17" s="98" t="str">
        <f t="shared" ref="F17:AC17" si="0">F4</f>
        <v>齋藤</v>
      </c>
      <c r="G17" s="98" t="str">
        <f t="shared" si="0"/>
        <v>村井</v>
      </c>
      <c r="H17" s="98" t="str">
        <f t="shared" si="0"/>
        <v>高田</v>
      </c>
      <c r="I17" s="98" t="str">
        <f t="shared" si="0"/>
        <v>吉井</v>
      </c>
      <c r="J17" s="98" t="str">
        <f t="shared" si="0"/>
        <v>堀田</v>
      </c>
      <c r="K17" s="98" t="str">
        <f t="shared" si="0"/>
        <v>大濱</v>
      </c>
      <c r="L17" s="98" t="str">
        <f t="shared" si="0"/>
        <v>渋谷</v>
      </c>
      <c r="M17" s="98" t="str">
        <f t="shared" si="0"/>
        <v>古谷</v>
      </c>
      <c r="N17" s="135" t="str">
        <f t="shared" ref="N17:O17" si="1">N4</f>
        <v>新垣</v>
      </c>
      <c r="O17" s="135" t="str">
        <f t="shared" si="1"/>
        <v>森本</v>
      </c>
      <c r="P17" s="135" t="str">
        <f t="shared" si="0"/>
        <v>岩野</v>
      </c>
      <c r="Q17" s="135" t="str">
        <f t="shared" si="0"/>
        <v>牛山</v>
      </c>
      <c r="R17" s="134" t="str">
        <f t="shared" si="0"/>
        <v>林</v>
      </c>
      <c r="S17" s="134" t="str">
        <f t="shared" si="0"/>
        <v>平野</v>
      </c>
      <c r="T17" s="123" t="str">
        <f t="shared" ref="T17" si="2">T4</f>
        <v>阿久津</v>
      </c>
      <c r="U17" s="123" t="str">
        <f t="shared" ref="U17" si="3">U4</f>
        <v>一倉</v>
      </c>
      <c r="V17" s="123" t="str">
        <f t="shared" si="0"/>
        <v>奥本</v>
      </c>
      <c r="W17" s="123" t="str">
        <f t="shared" si="0"/>
        <v>中村</v>
      </c>
      <c r="X17" s="98" t="str">
        <f t="shared" si="0"/>
        <v>山崎</v>
      </c>
      <c r="Y17" s="123" t="str">
        <f>Y4</f>
        <v>佐藤</v>
      </c>
      <c r="Z17" s="123" t="str">
        <f>Z4</f>
        <v>北條</v>
      </c>
      <c r="AA17" s="135" t="str">
        <f t="shared" si="0"/>
        <v>福澤</v>
      </c>
      <c r="AB17" s="123" t="str">
        <f>AB4</f>
        <v>角山</v>
      </c>
      <c r="AC17" s="123" t="str">
        <f t="shared" si="0"/>
        <v>相部</v>
      </c>
      <c r="AD17" s="98" t="str">
        <f t="shared" ref="AD17:AE17" si="4">AD4</f>
        <v>紀平</v>
      </c>
      <c r="AE17" s="98" t="str">
        <f t="shared" si="4"/>
        <v>若林</v>
      </c>
      <c r="AF17" s="98" t="str">
        <f>AF4</f>
        <v>稲垣</v>
      </c>
      <c r="AG17" s="98" t="str">
        <f>AG4</f>
        <v>新井</v>
      </c>
      <c r="AH17" s="3"/>
    </row>
    <row r="18" spans="1:34" ht="36.75" customHeight="1">
      <c r="A18" s="44" t="s">
        <v>73</v>
      </c>
      <c r="B18" s="78">
        <v>0.52083333333333337</v>
      </c>
      <c r="C18" s="79"/>
      <c r="D18" s="147" t="s">
        <v>74</v>
      </c>
      <c r="E18" s="47" t="s">
        <v>75</v>
      </c>
      <c r="F18" s="49"/>
      <c r="G18" s="32" t="s">
        <v>76</v>
      </c>
      <c r="H18" s="32" t="s">
        <v>77</v>
      </c>
      <c r="I18" s="32" t="s">
        <v>77</v>
      </c>
      <c r="J18" s="51" t="s">
        <v>56</v>
      </c>
      <c r="K18" s="51" t="s">
        <v>78</v>
      </c>
      <c r="L18" s="129" t="s">
        <v>279</v>
      </c>
      <c r="M18" s="129" t="s">
        <v>153</v>
      </c>
      <c r="N18" s="99"/>
      <c r="O18" s="99"/>
      <c r="P18" s="99"/>
      <c r="Q18" s="137" t="s">
        <v>277</v>
      </c>
      <c r="R18" s="99"/>
      <c r="S18" s="99"/>
      <c r="T18" s="129" t="s">
        <v>279</v>
      </c>
      <c r="U18" s="99"/>
      <c r="V18" s="137" t="s">
        <v>277</v>
      </c>
      <c r="W18" s="99"/>
      <c r="X18" s="99"/>
      <c r="Y18" s="99"/>
      <c r="Z18" s="105"/>
      <c r="AA18" s="152" t="s">
        <v>278</v>
      </c>
      <c r="AB18" s="32" t="s">
        <v>79</v>
      </c>
      <c r="AC18" s="51" t="s">
        <v>153</v>
      </c>
      <c r="AD18" s="32" t="s">
        <v>80</v>
      </c>
      <c r="AE18" s="32" t="s">
        <v>80</v>
      </c>
      <c r="AF18" s="32" t="s">
        <v>81</v>
      </c>
      <c r="AG18" s="32" t="s">
        <v>81</v>
      </c>
      <c r="AH18" s="102" t="s">
        <v>82</v>
      </c>
    </row>
    <row r="19" spans="1:34" ht="30" customHeight="1">
      <c r="A19" s="54" t="s">
        <v>83</v>
      </c>
      <c r="B19" s="80">
        <v>0.54166666666666663</v>
      </c>
      <c r="C19" s="80">
        <v>2.7777777777777779E-3</v>
      </c>
      <c r="D19" s="83" t="s">
        <v>84</v>
      </c>
      <c r="E19" s="47" t="s">
        <v>85</v>
      </c>
      <c r="F19" s="32" t="s">
        <v>86</v>
      </c>
      <c r="G19" s="32" t="s">
        <v>87</v>
      </c>
      <c r="H19" s="111" t="s">
        <v>88</v>
      </c>
      <c r="I19" s="111" t="s">
        <v>88</v>
      </c>
      <c r="J19" s="111" t="s">
        <v>88</v>
      </c>
      <c r="K19" s="111" t="s">
        <v>88</v>
      </c>
      <c r="L19" s="99"/>
      <c r="M19" s="99"/>
      <c r="N19" s="99"/>
      <c r="O19" s="99"/>
      <c r="P19" s="99"/>
      <c r="Q19" s="137" t="s">
        <v>277</v>
      </c>
      <c r="R19" s="99"/>
      <c r="S19" s="99"/>
      <c r="T19" s="99"/>
      <c r="U19" s="99"/>
      <c r="V19" s="137" t="s">
        <v>277</v>
      </c>
      <c r="W19" s="99"/>
      <c r="X19" s="99"/>
      <c r="Y19" s="99"/>
      <c r="Z19" s="105"/>
      <c r="AA19" s="105"/>
      <c r="AB19" s="99"/>
      <c r="AC19" s="99"/>
      <c r="AD19" s="99"/>
      <c r="AE19" s="51" t="s">
        <v>89</v>
      </c>
      <c r="AF19" s="51" t="s">
        <v>90</v>
      </c>
      <c r="AG19" s="51" t="s">
        <v>90</v>
      </c>
      <c r="AH19" s="102" t="s">
        <v>91</v>
      </c>
    </row>
    <row r="20" spans="1:34" ht="30" customHeight="1">
      <c r="A20" s="54" t="s">
        <v>92</v>
      </c>
      <c r="B20" s="78">
        <v>0.54166666666666663</v>
      </c>
      <c r="C20" s="78">
        <v>2.0833333333333333E-3</v>
      </c>
      <c r="D20" s="84" t="s">
        <v>93</v>
      </c>
      <c r="E20" s="47" t="s">
        <v>85</v>
      </c>
      <c r="F20" s="32" t="s">
        <v>86</v>
      </c>
      <c r="G20" s="32" t="s">
        <v>87</v>
      </c>
      <c r="H20" s="105"/>
      <c r="I20" s="32" t="s">
        <v>77</v>
      </c>
      <c r="J20" s="105"/>
      <c r="K20" s="99"/>
      <c r="L20" s="99"/>
      <c r="M20" s="99"/>
      <c r="N20" s="99"/>
      <c r="O20" s="99"/>
      <c r="P20" s="99"/>
      <c r="Q20" s="137" t="s">
        <v>277</v>
      </c>
      <c r="R20" s="99"/>
      <c r="S20" s="99"/>
      <c r="T20" s="99"/>
      <c r="U20" s="99"/>
      <c r="V20" s="137" t="s">
        <v>277</v>
      </c>
      <c r="W20" s="99"/>
      <c r="X20" s="99"/>
      <c r="Y20" s="99"/>
      <c r="Z20" s="99"/>
      <c r="AA20" s="99"/>
      <c r="AB20" s="103"/>
      <c r="AC20" s="99"/>
      <c r="AD20" s="99"/>
      <c r="AE20" s="51" t="s">
        <v>89</v>
      </c>
      <c r="AF20" s="51" t="s">
        <v>90</v>
      </c>
      <c r="AG20" s="51" t="s">
        <v>90</v>
      </c>
      <c r="AH20" s="102"/>
    </row>
    <row r="21" spans="1:34" ht="30" customHeight="1">
      <c r="A21" s="54" t="s">
        <v>94</v>
      </c>
      <c r="B21" s="78">
        <v>0.54374999999999996</v>
      </c>
      <c r="C21" s="80">
        <v>6.9444444444444441E-3</v>
      </c>
      <c r="D21" s="85" t="s">
        <v>95</v>
      </c>
      <c r="E21" s="47" t="s">
        <v>85</v>
      </c>
      <c r="F21" s="32" t="s">
        <v>86</v>
      </c>
      <c r="G21" s="32" t="s">
        <v>87</v>
      </c>
      <c r="H21" s="105"/>
      <c r="I21" s="32" t="s">
        <v>77</v>
      </c>
      <c r="J21" s="105"/>
      <c r="K21" s="99"/>
      <c r="L21" s="105"/>
      <c r="M21" s="105"/>
      <c r="N21" s="105"/>
      <c r="O21" s="105"/>
      <c r="P21" s="105"/>
      <c r="Q21" s="137" t="s">
        <v>277</v>
      </c>
      <c r="R21" s="105"/>
      <c r="S21" s="105"/>
      <c r="T21" s="105"/>
      <c r="U21" s="105"/>
      <c r="V21" s="137" t="s">
        <v>277</v>
      </c>
      <c r="W21" s="105"/>
      <c r="X21" s="105"/>
      <c r="Y21" s="105"/>
      <c r="Z21" s="99"/>
      <c r="AA21" s="105"/>
      <c r="AB21" s="103"/>
      <c r="AC21" s="99"/>
      <c r="AD21" s="105"/>
      <c r="AE21" s="51" t="s">
        <v>89</v>
      </c>
      <c r="AF21" s="51" t="s">
        <v>90</v>
      </c>
      <c r="AG21" s="51" t="s">
        <v>90</v>
      </c>
      <c r="AH21" s="102"/>
    </row>
    <row r="22" spans="1:34" ht="30" customHeight="1">
      <c r="A22" s="58">
        <v>6</v>
      </c>
      <c r="B22" s="80">
        <v>0.55138888888888893</v>
      </c>
      <c r="C22" s="80">
        <v>6.3888888888888884E-2</v>
      </c>
      <c r="D22" s="85" t="s">
        <v>96</v>
      </c>
      <c r="E22" s="47"/>
      <c r="F22" s="32" t="s">
        <v>86</v>
      </c>
      <c r="G22" s="32" t="s">
        <v>87</v>
      </c>
      <c r="H22" s="105"/>
      <c r="I22" s="32" t="s">
        <v>77</v>
      </c>
      <c r="J22" s="105"/>
      <c r="K22" s="99"/>
      <c r="L22" s="99"/>
      <c r="M22" s="99"/>
      <c r="N22" s="99"/>
      <c r="O22" s="99"/>
      <c r="P22" s="99"/>
      <c r="Q22" s="137" t="s">
        <v>277</v>
      </c>
      <c r="R22" s="99"/>
      <c r="S22" s="99"/>
      <c r="T22" s="99"/>
      <c r="U22" s="99"/>
      <c r="V22" s="137" t="s">
        <v>277</v>
      </c>
      <c r="W22" s="105"/>
      <c r="X22" s="105"/>
      <c r="Y22" s="105"/>
      <c r="Z22" s="106"/>
      <c r="AA22" s="105"/>
      <c r="AB22" s="105"/>
      <c r="AC22" s="99"/>
      <c r="AD22" s="105"/>
      <c r="AE22" s="51" t="s">
        <v>89</v>
      </c>
      <c r="AF22" s="51" t="s">
        <v>90</v>
      </c>
      <c r="AG22" s="51" t="s">
        <v>90</v>
      </c>
      <c r="AH22" s="102"/>
    </row>
    <row r="23" spans="1:34" ht="30" customHeight="1">
      <c r="A23" s="58">
        <v>9</v>
      </c>
      <c r="B23" s="78">
        <v>0.55555555555555558</v>
      </c>
      <c r="C23" s="78">
        <v>3.472222222222222E-3</v>
      </c>
      <c r="D23" s="86" t="s">
        <v>97</v>
      </c>
      <c r="E23" s="64"/>
      <c r="F23" s="32" t="s">
        <v>86</v>
      </c>
      <c r="G23" s="32" t="s">
        <v>87</v>
      </c>
      <c r="H23" s="107"/>
      <c r="I23" s="32" t="s">
        <v>77</v>
      </c>
      <c r="J23" s="107"/>
      <c r="K23" s="99"/>
      <c r="L23" s="99"/>
      <c r="M23" s="99"/>
      <c r="N23" s="99"/>
      <c r="O23" s="99"/>
      <c r="P23" s="99"/>
      <c r="Q23" s="137" t="s">
        <v>277</v>
      </c>
      <c r="R23" s="99"/>
      <c r="S23" s="99"/>
      <c r="T23" s="99"/>
      <c r="U23" s="99"/>
      <c r="V23" s="137" t="s">
        <v>277</v>
      </c>
      <c r="W23" s="105"/>
      <c r="X23" s="105"/>
      <c r="Y23" s="105"/>
      <c r="Z23" s="103"/>
      <c r="AA23" s="105"/>
      <c r="AB23" s="99"/>
      <c r="AC23" s="99"/>
      <c r="AD23" s="105"/>
      <c r="AE23" s="51" t="s">
        <v>89</v>
      </c>
      <c r="AF23" s="51" t="s">
        <v>90</v>
      </c>
      <c r="AG23" s="51" t="s">
        <v>90</v>
      </c>
      <c r="AH23" s="102"/>
    </row>
    <row r="24" spans="1:34" ht="30" customHeight="1">
      <c r="A24" s="58">
        <v>10</v>
      </c>
      <c r="B24" s="223">
        <v>0.55902777777777779</v>
      </c>
      <c r="C24" s="225">
        <v>4.8611111111111112E-2</v>
      </c>
      <c r="D24" s="87" t="s">
        <v>98</v>
      </c>
      <c r="E24" s="67"/>
      <c r="F24" s="32" t="s">
        <v>86</v>
      </c>
      <c r="G24" s="32" t="s">
        <v>87</v>
      </c>
      <c r="H24" s="107"/>
      <c r="I24" s="32" t="s">
        <v>77</v>
      </c>
      <c r="J24" s="107"/>
      <c r="K24" s="108"/>
      <c r="L24" s="108"/>
      <c r="M24" s="108"/>
      <c r="N24" s="108"/>
      <c r="O24" s="108"/>
      <c r="P24" s="108"/>
      <c r="Q24" s="137" t="s">
        <v>277</v>
      </c>
      <c r="R24" s="108"/>
      <c r="S24" s="108"/>
      <c r="T24" s="136" t="s">
        <v>105</v>
      </c>
      <c r="U24" s="136" t="s">
        <v>105</v>
      </c>
      <c r="V24" s="136" t="s">
        <v>105</v>
      </c>
      <c r="W24" s="136" t="s">
        <v>105</v>
      </c>
      <c r="X24" s="136" t="s">
        <v>105</v>
      </c>
      <c r="Y24" s="136" t="s">
        <v>105</v>
      </c>
      <c r="Z24" s="136" t="s">
        <v>105</v>
      </c>
      <c r="AA24" s="136" t="s">
        <v>105</v>
      </c>
      <c r="AB24" s="136" t="s">
        <v>105</v>
      </c>
      <c r="AC24" s="99"/>
      <c r="AD24" s="136" t="s">
        <v>105</v>
      </c>
      <c r="AE24" s="51" t="s">
        <v>89</v>
      </c>
      <c r="AF24" s="51" t="s">
        <v>90</v>
      </c>
      <c r="AG24" s="51" t="s">
        <v>90</v>
      </c>
      <c r="AH24" s="102" t="s">
        <v>99</v>
      </c>
    </row>
    <row r="25" spans="1:34" ht="30" customHeight="1">
      <c r="A25" s="58">
        <v>11</v>
      </c>
      <c r="B25" s="224"/>
      <c r="C25" s="226"/>
      <c r="D25" s="88" t="s">
        <v>100</v>
      </c>
      <c r="E25" s="69"/>
      <c r="F25" s="32" t="s">
        <v>86</v>
      </c>
      <c r="G25" s="32" t="s">
        <v>87</v>
      </c>
      <c r="H25" s="104"/>
      <c r="I25" s="32" t="s">
        <v>77</v>
      </c>
      <c r="J25" s="104"/>
      <c r="K25" s="108"/>
      <c r="L25" s="108"/>
      <c r="M25" s="108"/>
      <c r="N25" s="108"/>
      <c r="O25" s="108"/>
      <c r="P25" s="108"/>
      <c r="Q25" s="137" t="s">
        <v>277</v>
      </c>
      <c r="R25" s="108"/>
      <c r="S25" s="108"/>
      <c r="T25" s="136" t="s">
        <v>105</v>
      </c>
      <c r="U25" s="136" t="s">
        <v>105</v>
      </c>
      <c r="V25" s="136" t="s">
        <v>105</v>
      </c>
      <c r="W25" s="136" t="s">
        <v>105</v>
      </c>
      <c r="X25" s="136" t="s">
        <v>105</v>
      </c>
      <c r="Y25" s="136" t="s">
        <v>105</v>
      </c>
      <c r="Z25" s="136" t="s">
        <v>105</v>
      </c>
      <c r="AA25" s="136" t="s">
        <v>105</v>
      </c>
      <c r="AB25" s="136" t="s">
        <v>105</v>
      </c>
      <c r="AC25" s="103"/>
      <c r="AD25" s="136" t="s">
        <v>105</v>
      </c>
      <c r="AE25" s="51" t="s">
        <v>89</v>
      </c>
      <c r="AF25" s="51" t="s">
        <v>90</v>
      </c>
      <c r="AG25" s="51" t="s">
        <v>90</v>
      </c>
      <c r="AH25" s="102"/>
    </row>
    <row r="26" spans="1:34" ht="30" customHeight="1">
      <c r="A26" s="58">
        <v>12</v>
      </c>
      <c r="B26" s="78">
        <v>0.60763888888888884</v>
      </c>
      <c r="C26" s="78">
        <v>6.9444444444444441E-3</v>
      </c>
      <c r="D26" s="86" t="s">
        <v>101</v>
      </c>
      <c r="E26" s="60"/>
      <c r="F26" s="32" t="s">
        <v>86</v>
      </c>
      <c r="G26" s="32" t="s">
        <v>87</v>
      </c>
      <c r="H26" s="124" t="s">
        <v>102</v>
      </c>
      <c r="I26" s="124" t="s">
        <v>103</v>
      </c>
      <c r="J26" s="124" t="s">
        <v>103</v>
      </c>
      <c r="K26" s="99"/>
      <c r="L26" s="99"/>
      <c r="M26" s="99"/>
      <c r="N26" s="50" t="s">
        <v>104</v>
      </c>
      <c r="O26" s="50" t="s">
        <v>104</v>
      </c>
      <c r="P26" s="50" t="s">
        <v>104</v>
      </c>
      <c r="Q26" s="50"/>
      <c r="R26" s="99"/>
      <c r="S26" s="99"/>
      <c r="T26" s="136" t="s">
        <v>105</v>
      </c>
      <c r="U26" s="136" t="s">
        <v>105</v>
      </c>
      <c r="V26" s="136" t="s">
        <v>105</v>
      </c>
      <c r="W26" s="136" t="s">
        <v>105</v>
      </c>
      <c r="X26" s="136" t="s">
        <v>105</v>
      </c>
      <c r="Y26" s="136" t="s">
        <v>105</v>
      </c>
      <c r="Z26" s="136" t="s">
        <v>105</v>
      </c>
      <c r="AA26" s="136" t="s">
        <v>105</v>
      </c>
      <c r="AB26" s="136" t="s">
        <v>105</v>
      </c>
      <c r="AC26" s="99"/>
      <c r="AD26" s="136" t="s">
        <v>105</v>
      </c>
      <c r="AE26" s="56" t="s">
        <v>106</v>
      </c>
      <c r="AF26" s="56" t="s">
        <v>106</v>
      </c>
      <c r="AG26" s="56" t="s">
        <v>106</v>
      </c>
      <c r="AH26" s="102" t="s">
        <v>107</v>
      </c>
    </row>
    <row r="27" spans="1:34" ht="30" customHeight="1">
      <c r="A27" s="58">
        <v>13</v>
      </c>
      <c r="B27" s="78">
        <v>0.61458333333333337</v>
      </c>
      <c r="C27" s="78">
        <v>6.9444444444444447E-4</v>
      </c>
      <c r="D27" s="86" t="s">
        <v>108</v>
      </c>
      <c r="E27" s="47"/>
      <c r="F27" s="32" t="s">
        <v>86</v>
      </c>
      <c r="G27" s="32" t="s">
        <v>87</v>
      </c>
      <c r="H27" s="124" t="s">
        <v>102</v>
      </c>
      <c r="I27" s="124" t="s">
        <v>103</v>
      </c>
      <c r="J27" s="124" t="s">
        <v>103</v>
      </c>
      <c r="K27" s="99"/>
      <c r="L27" s="99"/>
      <c r="M27" s="99"/>
      <c r="N27" s="50" t="s">
        <v>104</v>
      </c>
      <c r="O27" s="50" t="s">
        <v>104</v>
      </c>
      <c r="P27" s="50" t="s">
        <v>104</v>
      </c>
      <c r="Q27" s="50"/>
      <c r="R27" s="99"/>
      <c r="S27" s="99"/>
      <c r="T27" s="99"/>
      <c r="U27" s="99"/>
      <c r="V27" s="99"/>
      <c r="W27" s="103"/>
      <c r="X27" s="103"/>
      <c r="Y27" s="103"/>
      <c r="Z27" s="103"/>
      <c r="AA27" s="103"/>
      <c r="AB27" s="108"/>
      <c r="AC27" s="99"/>
      <c r="AD27" s="103"/>
      <c r="AE27" s="136" t="s">
        <v>109</v>
      </c>
      <c r="AF27" s="56" t="s">
        <v>106</v>
      </c>
      <c r="AG27" s="56" t="s">
        <v>106</v>
      </c>
      <c r="AH27" s="102"/>
    </row>
    <row r="28" spans="1:34" ht="47.25" customHeight="1">
      <c r="A28" s="58">
        <v>14</v>
      </c>
      <c r="B28" s="81">
        <v>0.61527777777777781</v>
      </c>
      <c r="C28" s="81">
        <v>6.9444444444444441E-3</v>
      </c>
      <c r="D28" s="89" t="s">
        <v>110</v>
      </c>
      <c r="E28" s="47"/>
      <c r="F28" s="130" t="s">
        <v>111</v>
      </c>
      <c r="G28" s="122" t="s">
        <v>112</v>
      </c>
      <c r="H28" s="52" t="s">
        <v>113</v>
      </c>
      <c r="I28" s="52" t="s">
        <v>113</v>
      </c>
      <c r="J28" s="111" t="s">
        <v>114</v>
      </c>
      <c r="K28" s="130" t="s">
        <v>111</v>
      </c>
      <c r="L28" s="130" t="s">
        <v>111</v>
      </c>
      <c r="M28" s="130" t="s">
        <v>111</v>
      </c>
      <c r="N28" s="130" t="s">
        <v>111</v>
      </c>
      <c r="O28" s="130" t="s">
        <v>111</v>
      </c>
      <c r="P28" s="130" t="s">
        <v>111</v>
      </c>
      <c r="Q28" s="130" t="s">
        <v>111</v>
      </c>
      <c r="R28" s="130" t="s">
        <v>111</v>
      </c>
      <c r="S28" s="130" t="s">
        <v>111</v>
      </c>
      <c r="T28" s="130" t="s">
        <v>111</v>
      </c>
      <c r="U28" s="130" t="s">
        <v>111</v>
      </c>
      <c r="V28" s="130" t="s">
        <v>111</v>
      </c>
      <c r="W28" s="130" t="s">
        <v>111</v>
      </c>
      <c r="X28" s="130" t="s">
        <v>111</v>
      </c>
      <c r="Y28" s="130" t="s">
        <v>111</v>
      </c>
      <c r="Z28" s="130" t="s">
        <v>111</v>
      </c>
      <c r="AA28" s="130" t="s">
        <v>111</v>
      </c>
      <c r="AB28" s="130" t="s">
        <v>111</v>
      </c>
      <c r="AC28" s="130" t="s">
        <v>111</v>
      </c>
      <c r="AD28" s="130" t="s">
        <v>111</v>
      </c>
      <c r="AE28" s="56" t="s">
        <v>115</v>
      </c>
      <c r="AF28" s="56" t="s">
        <v>115</v>
      </c>
      <c r="AG28" s="56" t="s">
        <v>115</v>
      </c>
      <c r="AH28" s="101" t="s">
        <v>116</v>
      </c>
    </row>
    <row r="29" spans="1:34" ht="34.5">
      <c r="A29" s="58">
        <v>15</v>
      </c>
      <c r="B29" s="80">
        <v>0.62222222222222223</v>
      </c>
      <c r="C29" s="80">
        <v>2.7777777777777776E-2</v>
      </c>
      <c r="D29" s="92" t="s">
        <v>117</v>
      </c>
      <c r="E29" s="97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36" t="s">
        <v>275</v>
      </c>
      <c r="U29" s="136" t="s">
        <v>275</v>
      </c>
      <c r="V29" s="136" t="s">
        <v>275</v>
      </c>
      <c r="W29" s="136" t="s">
        <v>275</v>
      </c>
      <c r="X29" s="136" t="s">
        <v>275</v>
      </c>
      <c r="Y29" s="136" t="s">
        <v>275</v>
      </c>
      <c r="Z29" s="136" t="s">
        <v>275</v>
      </c>
      <c r="AA29" s="136" t="s">
        <v>275</v>
      </c>
      <c r="AB29" s="136" t="s">
        <v>275</v>
      </c>
      <c r="AC29" s="109"/>
      <c r="AD29" s="136" t="s">
        <v>275</v>
      </c>
      <c r="AE29" s="109"/>
      <c r="AF29" s="109"/>
      <c r="AG29" s="109"/>
      <c r="AH29" s="102" t="s">
        <v>118</v>
      </c>
    </row>
    <row r="30" spans="1:34" ht="36">
      <c r="A30" s="58">
        <v>17</v>
      </c>
      <c r="B30" s="82">
        <v>0.6430555555555556</v>
      </c>
      <c r="C30" s="82">
        <v>6.9444444444444441E-3</v>
      </c>
      <c r="D30" s="93" t="s">
        <v>119</v>
      </c>
      <c r="E30" s="97"/>
      <c r="F30" s="140" t="s">
        <v>120</v>
      </c>
      <c r="G30" s="140" t="s">
        <v>120</v>
      </c>
      <c r="H30" s="140" t="s">
        <v>120</v>
      </c>
      <c r="I30" s="140" t="s">
        <v>120</v>
      </c>
      <c r="J30" s="140" t="s">
        <v>120</v>
      </c>
      <c r="K30" s="140" t="s">
        <v>120</v>
      </c>
      <c r="L30" s="140" t="s">
        <v>120</v>
      </c>
      <c r="M30" s="140" t="s">
        <v>120</v>
      </c>
      <c r="N30" s="140" t="s">
        <v>120</v>
      </c>
      <c r="O30" s="140" t="s">
        <v>120</v>
      </c>
      <c r="P30" s="140" t="s">
        <v>120</v>
      </c>
      <c r="Q30" s="140" t="s">
        <v>120</v>
      </c>
      <c r="R30" s="140" t="s">
        <v>120</v>
      </c>
      <c r="S30" s="140" t="s">
        <v>120</v>
      </c>
      <c r="T30" s="140" t="s">
        <v>120</v>
      </c>
      <c r="U30" s="140" t="s">
        <v>120</v>
      </c>
      <c r="V30" s="140" t="s">
        <v>120</v>
      </c>
      <c r="W30" s="140" t="s">
        <v>120</v>
      </c>
      <c r="X30" s="140" t="s">
        <v>120</v>
      </c>
      <c r="Y30" s="140" t="s">
        <v>120</v>
      </c>
      <c r="Z30" s="140" t="s">
        <v>120</v>
      </c>
      <c r="AA30" s="140" t="s">
        <v>120</v>
      </c>
      <c r="AB30" s="140" t="s">
        <v>120</v>
      </c>
      <c r="AC30" s="140" t="s">
        <v>120</v>
      </c>
      <c r="AD30" s="140" t="s">
        <v>120</v>
      </c>
      <c r="AE30" s="109"/>
      <c r="AF30" s="109"/>
      <c r="AG30" s="109"/>
      <c r="AH30" s="139" t="s">
        <v>121</v>
      </c>
    </row>
    <row r="31" spans="1:34" ht="24">
      <c r="A31" s="58">
        <v>18</v>
      </c>
      <c r="B31" s="80">
        <v>0.65</v>
      </c>
      <c r="C31" s="80">
        <v>1.8749999999999999E-2</v>
      </c>
      <c r="D31" s="92" t="s">
        <v>122</v>
      </c>
      <c r="E31" s="97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37" t="s">
        <v>277</v>
      </c>
      <c r="R31" s="109"/>
      <c r="S31" s="109"/>
      <c r="T31" s="109"/>
      <c r="U31" s="137" t="s">
        <v>136</v>
      </c>
      <c r="V31" s="137" t="s">
        <v>277</v>
      </c>
      <c r="W31" s="32" t="s">
        <v>86</v>
      </c>
      <c r="X31" s="32" t="s">
        <v>87</v>
      </c>
      <c r="Y31" s="137" t="s">
        <v>136</v>
      </c>
      <c r="Z31" s="109"/>
      <c r="AA31" s="109"/>
      <c r="AB31" s="109"/>
      <c r="AC31" s="109"/>
      <c r="AD31" s="109"/>
      <c r="AE31" s="109"/>
      <c r="AF31" s="109"/>
      <c r="AG31" s="109"/>
      <c r="AH31" s="102" t="s">
        <v>123</v>
      </c>
    </row>
    <row r="32" spans="1:34" ht="24">
      <c r="A32" s="58">
        <v>21</v>
      </c>
      <c r="B32" s="78">
        <v>0.65069444444444446</v>
      </c>
      <c r="C32" s="78">
        <v>1.2500000000000001E-2</v>
      </c>
      <c r="D32" s="91" t="s">
        <v>124</v>
      </c>
      <c r="E32" s="97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37" t="s">
        <v>277</v>
      </c>
      <c r="R32" s="109"/>
      <c r="S32" s="109"/>
      <c r="T32" s="109"/>
      <c r="U32" s="138" t="s">
        <v>136</v>
      </c>
      <c r="V32" s="137" t="s">
        <v>277</v>
      </c>
      <c r="W32" s="32" t="s">
        <v>86</v>
      </c>
      <c r="X32" s="32" t="s">
        <v>87</v>
      </c>
      <c r="Y32" s="138" t="s">
        <v>136</v>
      </c>
      <c r="Z32" s="109"/>
      <c r="AA32" s="109"/>
      <c r="AB32" s="109"/>
      <c r="AC32" s="109"/>
      <c r="AD32" s="109"/>
      <c r="AE32" s="109"/>
      <c r="AF32" s="109"/>
      <c r="AG32" s="109"/>
      <c r="AH32" s="102"/>
    </row>
    <row r="33" spans="1:34" ht="24">
      <c r="A33" s="58">
        <v>22</v>
      </c>
      <c r="B33" s="78">
        <v>0.65416666666666667</v>
      </c>
      <c r="C33" s="78">
        <v>1.3888888888888889E-3</v>
      </c>
      <c r="D33" s="91" t="s">
        <v>125</v>
      </c>
      <c r="E33" s="97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37" t="s">
        <v>277</v>
      </c>
      <c r="R33" s="109"/>
      <c r="S33" s="109"/>
      <c r="T33" s="109"/>
      <c r="U33" s="138" t="s">
        <v>136</v>
      </c>
      <c r="V33" s="137" t="s">
        <v>277</v>
      </c>
      <c r="W33" s="32" t="s">
        <v>86</v>
      </c>
      <c r="X33" s="32" t="s">
        <v>87</v>
      </c>
      <c r="Y33" s="138" t="s">
        <v>136</v>
      </c>
      <c r="Z33" s="109"/>
      <c r="AA33" s="109"/>
      <c r="AB33" s="109"/>
      <c r="AC33" s="109"/>
      <c r="AD33" s="109"/>
      <c r="AE33" s="109"/>
      <c r="AF33" s="109"/>
      <c r="AG33" s="109"/>
      <c r="AH33" s="102"/>
    </row>
    <row r="34" spans="1:34" ht="24.75" thickBot="1">
      <c r="A34" s="58">
        <v>23</v>
      </c>
      <c r="B34" s="116">
        <v>0.66319444444444442</v>
      </c>
      <c r="C34" s="117">
        <v>6.9444444444444447E-4</v>
      </c>
      <c r="D34" s="118" t="s">
        <v>126</v>
      </c>
      <c r="E34" s="74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37" t="s">
        <v>277</v>
      </c>
      <c r="R34" s="119"/>
      <c r="S34" s="119"/>
      <c r="T34" s="119"/>
      <c r="U34" s="138" t="s">
        <v>136</v>
      </c>
      <c r="V34" s="137" t="s">
        <v>277</v>
      </c>
      <c r="W34" s="32" t="s">
        <v>86</v>
      </c>
      <c r="X34" s="32" t="s">
        <v>87</v>
      </c>
      <c r="Y34" s="138" t="s">
        <v>136</v>
      </c>
      <c r="Z34" s="119"/>
      <c r="AA34" s="119"/>
      <c r="AB34" s="119"/>
      <c r="AC34" s="119"/>
      <c r="AD34" s="119"/>
      <c r="AE34" s="119"/>
      <c r="AF34" s="119"/>
      <c r="AG34" s="119"/>
      <c r="AH34" s="120" t="s">
        <v>127</v>
      </c>
    </row>
    <row r="35" spans="1:34" ht="24">
      <c r="A35" s="58">
        <v>24</v>
      </c>
      <c r="B35" s="112">
        <v>0.66874999999999996</v>
      </c>
      <c r="C35" s="112">
        <v>1.5972222222222221E-2</v>
      </c>
      <c r="D35" s="113" t="s">
        <v>128</v>
      </c>
      <c r="E35" s="114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37" t="s">
        <v>277</v>
      </c>
      <c r="W35" s="32" t="s">
        <v>86</v>
      </c>
      <c r="X35" s="32" t="s">
        <v>87</v>
      </c>
      <c r="Y35" s="115"/>
      <c r="Z35" s="115"/>
      <c r="AA35" s="115"/>
      <c r="AB35" s="115"/>
      <c r="AC35" s="115"/>
      <c r="AD35" s="115"/>
      <c r="AE35" s="115"/>
      <c r="AF35" s="115"/>
      <c r="AG35" s="115"/>
      <c r="AH35" s="121" t="s">
        <v>129</v>
      </c>
    </row>
    <row r="36" spans="1:34" ht="24">
      <c r="A36" s="58">
        <v>27</v>
      </c>
      <c r="B36" s="78">
        <v>0.67291666666666672</v>
      </c>
      <c r="C36" s="78">
        <v>2.0833333333333333E-3</v>
      </c>
      <c r="D36" s="91" t="s">
        <v>130</v>
      </c>
      <c r="E36" s="97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37" t="s">
        <v>277</v>
      </c>
      <c r="W36" s="32" t="s">
        <v>86</v>
      </c>
      <c r="X36" s="32" t="s">
        <v>87</v>
      </c>
      <c r="Y36" s="109"/>
      <c r="Z36" s="109"/>
      <c r="AA36" s="109"/>
      <c r="AB36" s="109"/>
      <c r="AC36" s="109"/>
      <c r="AD36" s="109"/>
      <c r="AE36" s="109"/>
      <c r="AF36" s="109"/>
      <c r="AG36" s="109"/>
      <c r="AH36" s="102" t="s">
        <v>131</v>
      </c>
    </row>
    <row r="37" spans="1:34" ht="24">
      <c r="A37" s="58">
        <v>28</v>
      </c>
      <c r="B37" s="78">
        <v>0.67500000000000004</v>
      </c>
      <c r="C37" s="78">
        <v>2.7777777777777779E-3</v>
      </c>
      <c r="D37" s="91" t="s">
        <v>132</v>
      </c>
      <c r="E37" s="97"/>
      <c r="F37" s="109"/>
      <c r="G37" s="109"/>
      <c r="H37" s="136" t="s">
        <v>105</v>
      </c>
      <c r="I37" s="109"/>
      <c r="J37" s="109"/>
      <c r="K37" s="109"/>
      <c r="L37" s="136" t="s">
        <v>105</v>
      </c>
      <c r="M37" s="109"/>
      <c r="N37" s="109"/>
      <c r="O37" s="109"/>
      <c r="P37" s="109"/>
      <c r="Q37" s="109"/>
      <c r="R37" s="109"/>
      <c r="S37" s="109"/>
      <c r="T37" s="109"/>
      <c r="U37" s="109"/>
      <c r="V37" s="137" t="s">
        <v>277</v>
      </c>
      <c r="W37" s="32" t="s">
        <v>86</v>
      </c>
      <c r="X37" s="32" t="s">
        <v>87</v>
      </c>
      <c r="Y37" s="109"/>
      <c r="Z37" s="109"/>
      <c r="AA37" s="109"/>
      <c r="AB37" s="109"/>
      <c r="AC37" s="109"/>
      <c r="AD37" s="109"/>
      <c r="AE37" s="109"/>
      <c r="AF37" s="109"/>
      <c r="AG37" s="109"/>
      <c r="AH37" s="102"/>
    </row>
    <row r="38" spans="1:34" ht="24">
      <c r="A38" s="58">
        <v>29</v>
      </c>
      <c r="B38" s="78">
        <v>0.67777777777777781</v>
      </c>
      <c r="C38" s="78">
        <v>6.2500000000000003E-3</v>
      </c>
      <c r="D38" s="91" t="s">
        <v>133</v>
      </c>
      <c r="E38" s="97"/>
      <c r="F38" s="136" t="s">
        <v>105</v>
      </c>
      <c r="G38" s="136" t="s">
        <v>105</v>
      </c>
      <c r="H38" s="109"/>
      <c r="I38" s="136" t="s">
        <v>105</v>
      </c>
      <c r="J38" s="136" t="s">
        <v>105</v>
      </c>
      <c r="K38" s="136" t="s">
        <v>105</v>
      </c>
      <c r="L38" s="109"/>
      <c r="M38" s="136" t="s">
        <v>105</v>
      </c>
      <c r="N38" s="136" t="s">
        <v>105</v>
      </c>
      <c r="O38" s="136" t="s">
        <v>105</v>
      </c>
      <c r="P38" s="136" t="s">
        <v>105</v>
      </c>
      <c r="Q38" s="136" t="s">
        <v>105</v>
      </c>
      <c r="R38" s="136" t="s">
        <v>105</v>
      </c>
      <c r="S38" s="136" t="s">
        <v>105</v>
      </c>
      <c r="T38" s="109"/>
      <c r="U38" s="109"/>
      <c r="V38" s="137" t="s">
        <v>277</v>
      </c>
      <c r="W38" s="32" t="s">
        <v>86</v>
      </c>
      <c r="X38" s="32" t="s">
        <v>87</v>
      </c>
      <c r="Y38" s="109"/>
      <c r="Z38" s="109"/>
      <c r="AA38" s="109"/>
      <c r="AB38" s="109"/>
      <c r="AC38" s="109"/>
      <c r="AD38" s="109"/>
      <c r="AE38" s="109"/>
      <c r="AF38" s="109"/>
      <c r="AG38" s="109"/>
      <c r="AH38" s="102"/>
    </row>
    <row r="39" spans="1:34" ht="24">
      <c r="A39" s="58">
        <v>30</v>
      </c>
      <c r="B39" s="78">
        <v>0.68402777777777779</v>
      </c>
      <c r="C39" s="78">
        <v>6.9444444444444447E-4</v>
      </c>
      <c r="D39" s="91" t="s">
        <v>134</v>
      </c>
      <c r="E39" s="97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37" t="s">
        <v>277</v>
      </c>
      <c r="W39" s="32" t="s">
        <v>86</v>
      </c>
      <c r="X39" s="32" t="s">
        <v>87</v>
      </c>
      <c r="Y39" s="109"/>
      <c r="Z39" s="109"/>
      <c r="AA39" s="109"/>
      <c r="AB39" s="109"/>
      <c r="AC39" s="109"/>
      <c r="AD39" s="109"/>
      <c r="AE39" s="109"/>
      <c r="AF39" s="109"/>
      <c r="AG39" s="109"/>
      <c r="AH39" s="102"/>
    </row>
    <row r="40" spans="1:34" ht="24">
      <c r="A40" s="58">
        <v>31</v>
      </c>
      <c r="B40" s="80">
        <v>0.68472222222222223</v>
      </c>
      <c r="C40" s="80">
        <v>3.1944444444444442E-2</v>
      </c>
      <c r="D40" s="94" t="s">
        <v>135</v>
      </c>
      <c r="E40" s="97"/>
      <c r="F40" s="109"/>
      <c r="G40" s="109"/>
      <c r="H40" s="109"/>
      <c r="I40" s="109"/>
      <c r="J40" s="109"/>
      <c r="K40" s="109"/>
      <c r="L40" s="109"/>
      <c r="M40" s="137" t="s">
        <v>136</v>
      </c>
      <c r="N40" s="109"/>
      <c r="O40" s="109"/>
      <c r="P40" s="109"/>
      <c r="Q40" s="137" t="s">
        <v>277</v>
      </c>
      <c r="R40" s="109"/>
      <c r="S40" s="109"/>
      <c r="T40" s="109"/>
      <c r="U40" s="109"/>
      <c r="V40" s="137" t="s">
        <v>277</v>
      </c>
      <c r="W40" s="32" t="s">
        <v>86</v>
      </c>
      <c r="X40" s="32" t="s">
        <v>87</v>
      </c>
      <c r="Y40" s="109"/>
      <c r="Z40" s="109"/>
      <c r="AA40" s="109"/>
      <c r="AB40" s="137" t="s">
        <v>136</v>
      </c>
      <c r="AC40" s="109"/>
      <c r="AD40" s="109"/>
      <c r="AE40" s="109"/>
      <c r="AF40" s="109"/>
      <c r="AG40" s="109"/>
      <c r="AH40" s="102" t="s">
        <v>131</v>
      </c>
    </row>
    <row r="41" spans="1:34" ht="24">
      <c r="A41" s="58">
        <v>33</v>
      </c>
      <c r="B41" s="78">
        <v>0.68680555555555556</v>
      </c>
      <c r="C41" s="78">
        <v>2.7777777777777776E-2</v>
      </c>
      <c r="D41" s="91" t="s">
        <v>137</v>
      </c>
      <c r="E41" s="97"/>
      <c r="F41" s="109"/>
      <c r="G41" s="109"/>
      <c r="H41" s="109"/>
      <c r="I41" s="109"/>
      <c r="J41" s="109"/>
      <c r="K41" s="109"/>
      <c r="L41" s="109"/>
      <c r="M41" s="138" t="s">
        <v>136</v>
      </c>
      <c r="N41" s="109"/>
      <c r="O41" s="109"/>
      <c r="P41" s="109"/>
      <c r="Q41" s="137" t="s">
        <v>277</v>
      </c>
      <c r="R41" s="109"/>
      <c r="S41" s="109"/>
      <c r="T41" s="109"/>
      <c r="U41" s="109"/>
      <c r="V41" s="137" t="s">
        <v>277</v>
      </c>
      <c r="W41" s="32" t="s">
        <v>86</v>
      </c>
      <c r="X41" s="32" t="s">
        <v>87</v>
      </c>
      <c r="Y41" s="109"/>
      <c r="Z41" s="109"/>
      <c r="AA41" s="109"/>
      <c r="AB41" s="138" t="s">
        <v>136</v>
      </c>
      <c r="AC41" s="109"/>
      <c r="AD41" s="109"/>
      <c r="AE41" s="109"/>
      <c r="AF41" s="109"/>
      <c r="AG41" s="109"/>
      <c r="AH41" s="102"/>
    </row>
    <row r="42" spans="1:34" ht="24">
      <c r="A42" s="58">
        <v>34</v>
      </c>
      <c r="B42" s="78">
        <v>0.71458333333333335</v>
      </c>
      <c r="C42" s="78">
        <v>1.3888888888888889E-3</v>
      </c>
      <c r="D42" s="91" t="s">
        <v>138</v>
      </c>
      <c r="E42" s="97"/>
      <c r="F42" s="109"/>
      <c r="G42" s="109"/>
      <c r="H42" s="109"/>
      <c r="I42" s="109"/>
      <c r="J42" s="109"/>
      <c r="K42" s="109"/>
      <c r="L42" s="109"/>
      <c r="M42" s="138" t="s">
        <v>136</v>
      </c>
      <c r="N42" s="109"/>
      <c r="O42" s="109"/>
      <c r="P42" s="109"/>
      <c r="Q42" s="137" t="s">
        <v>277</v>
      </c>
      <c r="R42" s="109"/>
      <c r="S42" s="109"/>
      <c r="T42" s="109"/>
      <c r="U42" s="109"/>
      <c r="V42" s="137" t="s">
        <v>277</v>
      </c>
      <c r="W42" s="32" t="s">
        <v>86</v>
      </c>
      <c r="X42" s="32" t="s">
        <v>87</v>
      </c>
      <c r="Y42" s="109"/>
      <c r="Z42" s="50" t="s">
        <v>104</v>
      </c>
      <c r="AA42" s="50" t="s">
        <v>104</v>
      </c>
      <c r="AB42" s="138" t="s">
        <v>136</v>
      </c>
      <c r="AC42" s="109"/>
      <c r="AD42" s="109"/>
      <c r="AE42" s="109"/>
      <c r="AF42" s="56" t="s">
        <v>106</v>
      </c>
      <c r="AG42" s="56" t="s">
        <v>106</v>
      </c>
      <c r="AH42" s="102"/>
    </row>
    <row r="43" spans="1:34" ht="24">
      <c r="A43" s="58">
        <v>35</v>
      </c>
      <c r="B43" s="78">
        <v>0.71597222222222223</v>
      </c>
      <c r="C43" s="78">
        <v>6.9444444444444447E-4</v>
      </c>
      <c r="D43" s="91" t="s">
        <v>139</v>
      </c>
      <c r="E43" s="97"/>
      <c r="F43" s="109"/>
      <c r="G43" s="109"/>
      <c r="H43" s="109"/>
      <c r="I43" s="109"/>
      <c r="J43" s="109"/>
      <c r="K43" s="109"/>
      <c r="L43" s="109"/>
      <c r="M43" s="138" t="s">
        <v>136</v>
      </c>
      <c r="N43" s="109"/>
      <c r="O43" s="109"/>
      <c r="P43" s="109"/>
      <c r="Q43" s="137" t="s">
        <v>277</v>
      </c>
      <c r="R43" s="109"/>
      <c r="S43" s="109"/>
      <c r="T43" s="109"/>
      <c r="U43" s="109"/>
      <c r="V43" s="137" t="s">
        <v>277</v>
      </c>
      <c r="W43" s="32" t="s">
        <v>86</v>
      </c>
      <c r="X43" s="32" t="s">
        <v>87</v>
      </c>
      <c r="Y43" s="109"/>
      <c r="Z43" s="50" t="s">
        <v>104</v>
      </c>
      <c r="AA43" s="50" t="s">
        <v>104</v>
      </c>
      <c r="AB43" s="138" t="s">
        <v>136</v>
      </c>
      <c r="AC43" s="109"/>
      <c r="AD43" s="109"/>
      <c r="AE43" s="109"/>
      <c r="AF43" s="56" t="s">
        <v>106</v>
      </c>
      <c r="AG43" s="56" t="s">
        <v>106</v>
      </c>
      <c r="AH43" s="102"/>
    </row>
    <row r="44" spans="1:34" ht="36">
      <c r="A44" s="58">
        <v>36</v>
      </c>
      <c r="B44" s="81">
        <v>0.71666666666666667</v>
      </c>
      <c r="C44" s="81">
        <v>1.3888888888888888E-2</v>
      </c>
      <c r="D44" s="95" t="s">
        <v>110</v>
      </c>
      <c r="E44" s="97"/>
      <c r="F44" s="130" t="s">
        <v>111</v>
      </c>
      <c r="G44" s="131" t="s">
        <v>140</v>
      </c>
      <c r="H44" s="130" t="s">
        <v>111</v>
      </c>
      <c r="I44" s="130" t="s">
        <v>111</v>
      </c>
      <c r="J44" s="130" t="s">
        <v>111</v>
      </c>
      <c r="K44" s="130" t="s">
        <v>111</v>
      </c>
      <c r="L44" s="130" t="s">
        <v>111</v>
      </c>
      <c r="M44" s="130" t="s">
        <v>111</v>
      </c>
      <c r="N44" s="130" t="s">
        <v>111</v>
      </c>
      <c r="O44" s="130" t="s">
        <v>111</v>
      </c>
      <c r="P44" s="130" t="s">
        <v>111</v>
      </c>
      <c r="Q44" s="130" t="s">
        <v>111</v>
      </c>
      <c r="R44" s="130" t="s">
        <v>111</v>
      </c>
      <c r="S44" s="130" t="s">
        <v>111</v>
      </c>
      <c r="T44" s="130" t="s">
        <v>111</v>
      </c>
      <c r="U44" s="130" t="s">
        <v>111</v>
      </c>
      <c r="V44" s="130" t="s">
        <v>111</v>
      </c>
      <c r="W44" s="130" t="s">
        <v>111</v>
      </c>
      <c r="X44" s="130" t="s">
        <v>111</v>
      </c>
      <c r="Y44" s="130" t="s">
        <v>111</v>
      </c>
      <c r="Z44" s="50" t="s">
        <v>141</v>
      </c>
      <c r="AA44" s="50" t="s">
        <v>141</v>
      </c>
      <c r="AB44" s="130" t="s">
        <v>111</v>
      </c>
      <c r="AC44" s="130" t="s">
        <v>111</v>
      </c>
      <c r="AD44" s="130" t="s">
        <v>111</v>
      </c>
      <c r="AE44" s="130" t="s">
        <v>111</v>
      </c>
      <c r="AF44" s="56" t="s">
        <v>142</v>
      </c>
      <c r="AG44" s="56" t="s">
        <v>142</v>
      </c>
    </row>
    <row r="45" spans="1:34" ht="17.25">
      <c r="A45" s="58">
        <v>37</v>
      </c>
      <c r="B45" s="80">
        <v>0.73055555555555551</v>
      </c>
      <c r="C45" s="80">
        <v>4.791666666666667E-2</v>
      </c>
      <c r="D45" s="94" t="s">
        <v>143</v>
      </c>
      <c r="E45" s="97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37" t="s">
        <v>277</v>
      </c>
      <c r="R45" s="138" t="s">
        <v>136</v>
      </c>
      <c r="S45" s="138" t="s">
        <v>136</v>
      </c>
      <c r="T45" s="109"/>
      <c r="U45" s="109"/>
      <c r="V45" s="137" t="s">
        <v>277</v>
      </c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2" t="s">
        <v>131</v>
      </c>
    </row>
    <row r="46" spans="1:34" ht="17.25">
      <c r="A46" s="58">
        <v>38</v>
      </c>
      <c r="B46" s="78">
        <v>0.73055555555555551</v>
      </c>
      <c r="C46" s="78">
        <v>6.9444444444444447E-4</v>
      </c>
      <c r="D46" s="91" t="s">
        <v>144</v>
      </c>
      <c r="E46" s="97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37" t="s">
        <v>277</v>
      </c>
      <c r="R46" s="138" t="s">
        <v>136</v>
      </c>
      <c r="S46" s="138" t="s">
        <v>136</v>
      </c>
      <c r="T46" s="109"/>
      <c r="U46" s="109"/>
      <c r="V46" s="137" t="s">
        <v>277</v>
      </c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2"/>
    </row>
    <row r="47" spans="1:34" ht="24">
      <c r="A47" s="58">
        <v>39</v>
      </c>
      <c r="B47" s="78">
        <v>0.73124999999999996</v>
      </c>
      <c r="C47" s="78">
        <v>4.1666666666666664E-2</v>
      </c>
      <c r="D47" s="91" t="s">
        <v>145</v>
      </c>
      <c r="E47" s="97"/>
      <c r="F47" s="126" t="s">
        <v>146</v>
      </c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37" t="s">
        <v>277</v>
      </c>
      <c r="R47" s="138" t="s">
        <v>136</v>
      </c>
      <c r="S47" s="138" t="s">
        <v>136</v>
      </c>
      <c r="T47" s="109"/>
      <c r="U47" s="109"/>
      <c r="V47" s="137" t="s">
        <v>277</v>
      </c>
      <c r="W47" s="109"/>
      <c r="X47" s="109"/>
      <c r="Y47" s="109"/>
      <c r="Z47" s="109"/>
      <c r="AA47" s="109"/>
      <c r="AB47" s="109"/>
      <c r="AC47" s="109"/>
      <c r="AD47" s="126" t="s">
        <v>146</v>
      </c>
      <c r="AE47" s="109"/>
      <c r="AF47" s="109"/>
      <c r="AG47" s="109"/>
    </row>
    <row r="48" spans="1:34" ht="17.25">
      <c r="A48" s="58">
        <v>40</v>
      </c>
      <c r="B48" s="78">
        <v>0.7729166666666667</v>
      </c>
      <c r="C48" s="78">
        <v>2.0833333333333333E-3</v>
      </c>
      <c r="D48" s="91" t="s">
        <v>147</v>
      </c>
      <c r="E48" s="97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37" t="s">
        <v>277</v>
      </c>
      <c r="R48" s="109"/>
      <c r="S48" s="109"/>
      <c r="T48" s="109"/>
      <c r="U48" s="109"/>
      <c r="V48" s="137" t="s">
        <v>277</v>
      </c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2" t="s">
        <v>131</v>
      </c>
    </row>
    <row r="49" spans="1:35" ht="17.25">
      <c r="A49" s="58">
        <v>41</v>
      </c>
      <c r="B49" s="78">
        <v>0.77500000000000002</v>
      </c>
      <c r="C49" s="78">
        <v>3.472222222222222E-3</v>
      </c>
      <c r="D49" s="91" t="s">
        <v>148</v>
      </c>
      <c r="E49" s="97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37" t="s">
        <v>277</v>
      </c>
      <c r="R49" s="109"/>
      <c r="S49" s="109"/>
      <c r="T49" s="109"/>
      <c r="U49" s="109"/>
      <c r="V49" s="137" t="s">
        <v>277</v>
      </c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</row>
    <row r="50" spans="1:35" ht="17.25">
      <c r="A50" s="58">
        <v>42</v>
      </c>
      <c r="B50" s="81">
        <v>0.77847222222222223</v>
      </c>
      <c r="C50" s="81">
        <v>6.9444444444444441E-3</v>
      </c>
      <c r="D50" s="95" t="s">
        <v>149</v>
      </c>
      <c r="E50" s="97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</row>
    <row r="51" spans="1:35" ht="87" thickBot="1">
      <c r="A51" s="58">
        <v>43</v>
      </c>
      <c r="B51" s="82">
        <v>0.78541666666666665</v>
      </c>
      <c r="C51" s="82">
        <v>0</v>
      </c>
      <c r="D51" s="90" t="s">
        <v>150</v>
      </c>
      <c r="E51" s="96"/>
      <c r="F51" s="125" t="s">
        <v>151</v>
      </c>
      <c r="G51" s="125" t="s">
        <v>152</v>
      </c>
      <c r="H51" s="125" t="s">
        <v>151</v>
      </c>
      <c r="I51" s="125" t="s">
        <v>152</v>
      </c>
      <c r="J51" s="125" t="s">
        <v>151</v>
      </c>
      <c r="K51" s="125" t="s">
        <v>151</v>
      </c>
      <c r="L51" s="125" t="s">
        <v>152</v>
      </c>
      <c r="M51" s="127" t="s">
        <v>153</v>
      </c>
      <c r="N51" s="125" t="s">
        <v>151</v>
      </c>
      <c r="O51" s="125" t="s">
        <v>151</v>
      </c>
      <c r="P51" s="125" t="s">
        <v>151</v>
      </c>
      <c r="Q51" s="125" t="s">
        <v>151</v>
      </c>
      <c r="R51" s="125" t="s">
        <v>151</v>
      </c>
      <c r="S51" s="125" t="s">
        <v>151</v>
      </c>
      <c r="T51" s="110"/>
      <c r="U51" s="110"/>
      <c r="V51" s="110"/>
      <c r="W51" s="125" t="s">
        <v>154</v>
      </c>
      <c r="X51" s="125" t="s">
        <v>154</v>
      </c>
      <c r="Y51" s="125" t="s">
        <v>154</v>
      </c>
      <c r="Z51" s="110"/>
      <c r="AA51" s="110"/>
      <c r="AB51" s="110"/>
      <c r="AC51" s="127" t="s">
        <v>153</v>
      </c>
      <c r="AD51" s="125" t="s">
        <v>154</v>
      </c>
      <c r="AE51" s="110"/>
      <c r="AF51" s="128" t="s">
        <v>151</v>
      </c>
      <c r="AG51" s="128" t="s">
        <v>151</v>
      </c>
      <c r="AH51" s="102" t="s">
        <v>155</v>
      </c>
      <c r="AI51" s="77" t="s">
        <v>156</v>
      </c>
    </row>
  </sheetData>
  <mergeCells count="2">
    <mergeCell ref="B24:B25"/>
    <mergeCell ref="C24:C2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horizontalDpi="4294967292" verticalDpi="4294967292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35"/>
  <sheetViews>
    <sheetView topLeftCell="A13" zoomScale="85" zoomScaleNormal="85" zoomScalePageLayoutView="64" workbookViewId="0">
      <selection activeCell="B20" sqref="B20:D20"/>
    </sheetView>
  </sheetViews>
  <sheetFormatPr defaultColWidth="9" defaultRowHeight="13.5"/>
  <cols>
    <col min="1" max="1" width="6" style="3" customWidth="1"/>
    <col min="2" max="3" width="7.125" style="3" customWidth="1"/>
    <col min="4" max="4" width="29.5" style="3" customWidth="1"/>
    <col min="5" max="5" width="24.5" style="3" customWidth="1"/>
    <col min="6" max="6" width="8.125" style="3" customWidth="1"/>
    <col min="7" max="7" width="8.5" style="3" customWidth="1"/>
    <col min="8" max="23" width="9.125" style="3" customWidth="1"/>
    <col min="24" max="16384" width="9" style="3"/>
  </cols>
  <sheetData>
    <row r="2" spans="1:23" ht="26.25" customHeight="1">
      <c r="A2" s="1" t="s">
        <v>157</v>
      </c>
      <c r="B2" s="2"/>
      <c r="C2" s="2"/>
      <c r="E2" s="3" t="s">
        <v>158</v>
      </c>
    </row>
    <row r="3" spans="1:23" ht="26.25" customHeight="1" thickBot="1">
      <c r="A3" s="5" t="s">
        <v>159</v>
      </c>
      <c r="B3" s="6"/>
      <c r="C3" s="2"/>
      <c r="I3" s="4"/>
    </row>
    <row r="4" spans="1:23" s="4" customFormat="1" ht="18.95" customHeight="1">
      <c r="A4" s="7" t="s">
        <v>5</v>
      </c>
      <c r="B4" s="8" t="s">
        <v>6</v>
      </c>
      <c r="C4" s="9"/>
      <c r="D4" s="9" t="s">
        <v>7</v>
      </c>
      <c r="E4" s="10"/>
      <c r="F4" s="11" t="s">
        <v>22</v>
      </c>
      <c r="G4" s="11" t="s">
        <v>160</v>
      </c>
      <c r="H4" s="11" t="s">
        <v>9</v>
      </c>
      <c r="I4" s="11"/>
      <c r="J4" s="11" t="s">
        <v>161</v>
      </c>
      <c r="K4" s="11" t="s">
        <v>162</v>
      </c>
      <c r="L4" s="11" t="s">
        <v>163</v>
      </c>
      <c r="M4" s="11" t="s">
        <v>164</v>
      </c>
      <c r="N4" s="11" t="s">
        <v>165</v>
      </c>
      <c r="O4" s="11" t="s">
        <v>166</v>
      </c>
      <c r="P4" s="11" t="s">
        <v>167</v>
      </c>
      <c r="Q4" s="11" t="s">
        <v>168</v>
      </c>
      <c r="R4" s="11" t="s">
        <v>169</v>
      </c>
      <c r="S4" s="11" t="s">
        <v>170</v>
      </c>
      <c r="T4" s="11" t="s">
        <v>171</v>
      </c>
      <c r="U4" s="11" t="s">
        <v>172</v>
      </c>
      <c r="V4" s="11" t="s">
        <v>173</v>
      </c>
      <c r="W4" s="3"/>
    </row>
    <row r="5" spans="1:23" ht="18.95" customHeight="1">
      <c r="A5" s="12"/>
      <c r="B5" s="13"/>
      <c r="C5" s="14"/>
      <c r="D5" s="15"/>
      <c r="E5" s="16" t="s">
        <v>27</v>
      </c>
      <c r="F5" s="17" t="s">
        <v>28</v>
      </c>
      <c r="G5" s="17" t="s">
        <v>28</v>
      </c>
      <c r="H5" s="17" t="s">
        <v>28</v>
      </c>
      <c r="I5" s="17" t="s">
        <v>28</v>
      </c>
      <c r="J5" s="18" t="s">
        <v>28</v>
      </c>
      <c r="K5" s="18" t="s">
        <v>28</v>
      </c>
      <c r="L5" s="18" t="s">
        <v>28</v>
      </c>
      <c r="M5" s="18" t="s">
        <v>28</v>
      </c>
      <c r="N5" s="18" t="s">
        <v>28</v>
      </c>
      <c r="O5" s="18" t="s">
        <v>28</v>
      </c>
      <c r="P5" s="18" t="s">
        <v>28</v>
      </c>
      <c r="Q5" s="18" t="s">
        <v>174</v>
      </c>
      <c r="R5" s="18" t="s">
        <v>28</v>
      </c>
      <c r="S5" s="18" t="s">
        <v>28</v>
      </c>
      <c r="T5" s="18" t="s">
        <v>175</v>
      </c>
      <c r="U5" s="18" t="s">
        <v>175</v>
      </c>
      <c r="V5" s="18" t="s">
        <v>176</v>
      </c>
    </row>
    <row r="6" spans="1:23" ht="24.95" customHeight="1">
      <c r="A6" s="19"/>
      <c r="B6" s="20"/>
      <c r="C6" s="21"/>
      <c r="D6" s="15"/>
      <c r="E6" s="16" t="s">
        <v>29</v>
      </c>
      <c r="F6" s="18" t="s">
        <v>136</v>
      </c>
      <c r="G6" s="18" t="s">
        <v>177</v>
      </c>
      <c r="H6" s="22" t="s">
        <v>178</v>
      </c>
      <c r="I6" s="22" t="s">
        <v>179</v>
      </c>
      <c r="J6" s="18" t="s">
        <v>180</v>
      </c>
      <c r="K6" s="18" t="s">
        <v>181</v>
      </c>
      <c r="L6" s="18" t="s">
        <v>181</v>
      </c>
      <c r="M6" s="18" t="s">
        <v>181</v>
      </c>
      <c r="N6" s="18" t="s">
        <v>182</v>
      </c>
      <c r="O6" s="18" t="s">
        <v>183</v>
      </c>
      <c r="P6" s="18" t="s">
        <v>183</v>
      </c>
      <c r="Q6" s="18" t="s">
        <v>184</v>
      </c>
      <c r="R6" s="18" t="s">
        <v>184</v>
      </c>
      <c r="S6" s="18" t="s">
        <v>182</v>
      </c>
      <c r="T6" s="18" t="s">
        <v>184</v>
      </c>
      <c r="U6" s="18" t="s">
        <v>182</v>
      </c>
      <c r="V6" s="18" t="s">
        <v>182</v>
      </c>
    </row>
    <row r="7" spans="1:23" ht="21.95" customHeight="1">
      <c r="A7" s="23"/>
      <c r="B7" s="24">
        <v>0.375</v>
      </c>
      <c r="C7" s="25"/>
      <c r="D7" s="141" t="s">
        <v>39</v>
      </c>
      <c r="E7" s="141" t="s">
        <v>40</v>
      </c>
      <c r="F7" s="26"/>
      <c r="G7" s="27" t="s">
        <v>41</v>
      </c>
      <c r="H7" s="27" t="s">
        <v>41</v>
      </c>
      <c r="I7" s="27" t="s">
        <v>41</v>
      </c>
      <c r="J7" s="26"/>
      <c r="K7" s="26"/>
      <c r="L7" s="26"/>
      <c r="M7" s="27"/>
      <c r="N7" s="26"/>
      <c r="O7" s="26"/>
      <c r="P7" s="26"/>
      <c r="Q7" s="26"/>
      <c r="R7" s="26"/>
      <c r="S7" s="26"/>
      <c r="T7" s="26"/>
      <c r="U7" s="26"/>
      <c r="V7" s="26"/>
    </row>
    <row r="8" spans="1:23" ht="18.95" customHeight="1">
      <c r="A8" s="23"/>
      <c r="B8" s="24">
        <v>0.375</v>
      </c>
      <c r="C8" s="25"/>
      <c r="D8" s="142" t="s">
        <v>42</v>
      </c>
      <c r="E8" s="142" t="s">
        <v>43</v>
      </c>
      <c r="F8" s="27"/>
      <c r="G8" s="27"/>
      <c r="H8" s="27"/>
      <c r="I8" s="27"/>
      <c r="J8" s="27" t="s">
        <v>41</v>
      </c>
      <c r="K8" s="27" t="s">
        <v>41</v>
      </c>
      <c r="L8" s="27" t="s">
        <v>41</v>
      </c>
      <c r="M8" s="27" t="s">
        <v>41</v>
      </c>
      <c r="N8" s="27" t="s">
        <v>41</v>
      </c>
      <c r="O8" s="27" t="s">
        <v>41</v>
      </c>
      <c r="P8" s="27" t="s">
        <v>41</v>
      </c>
      <c r="Q8" s="27" t="s">
        <v>41</v>
      </c>
      <c r="R8" s="27" t="s">
        <v>41</v>
      </c>
      <c r="S8" s="27" t="s">
        <v>41</v>
      </c>
      <c r="T8" s="27" t="s">
        <v>41</v>
      </c>
      <c r="U8" s="27" t="s">
        <v>41</v>
      </c>
      <c r="V8" s="27" t="s">
        <v>41</v>
      </c>
    </row>
    <row r="9" spans="1:23" ht="30" customHeight="1">
      <c r="A9" s="28"/>
      <c r="B9" s="29">
        <v>0.40625</v>
      </c>
      <c r="C9" s="30"/>
      <c r="D9" s="143" t="s">
        <v>44</v>
      </c>
      <c r="E9" s="31" t="s">
        <v>45</v>
      </c>
      <c r="F9" s="32"/>
      <c r="G9" s="32"/>
      <c r="H9" s="32"/>
      <c r="I9" s="32"/>
      <c r="J9" s="32"/>
      <c r="K9" s="32" t="s">
        <v>185</v>
      </c>
      <c r="L9" s="32" t="s">
        <v>185</v>
      </c>
      <c r="M9" s="32" t="s">
        <v>186</v>
      </c>
      <c r="N9" s="32" t="s">
        <v>187</v>
      </c>
      <c r="O9" s="32" t="s">
        <v>188</v>
      </c>
      <c r="P9" s="32" t="s">
        <v>188</v>
      </c>
      <c r="Q9" s="32" t="s">
        <v>189</v>
      </c>
      <c r="R9" s="32" t="s">
        <v>189</v>
      </c>
      <c r="S9" s="32" t="s">
        <v>189</v>
      </c>
      <c r="T9" s="32"/>
      <c r="U9" s="32"/>
      <c r="V9" s="32"/>
    </row>
    <row r="10" spans="1:23" ht="30" customHeight="1">
      <c r="A10" s="33"/>
      <c r="B10" s="34"/>
      <c r="C10" s="35"/>
      <c r="D10" s="143" t="s">
        <v>48</v>
      </c>
      <c r="E10" s="31" t="s">
        <v>49</v>
      </c>
      <c r="F10" s="32"/>
      <c r="G10" s="32"/>
      <c r="H10" s="32"/>
      <c r="I10" s="32"/>
      <c r="J10" s="32"/>
      <c r="K10" s="32"/>
      <c r="L10" s="32"/>
      <c r="M10" s="32" t="s">
        <v>50</v>
      </c>
      <c r="N10" s="32" t="s">
        <v>50</v>
      </c>
      <c r="O10" s="32" t="s">
        <v>51</v>
      </c>
      <c r="P10" s="32" t="s">
        <v>51</v>
      </c>
      <c r="Q10" s="32"/>
      <c r="R10" s="32"/>
      <c r="S10" s="32" t="s">
        <v>153</v>
      </c>
      <c r="T10" s="32"/>
      <c r="U10" s="32"/>
      <c r="V10" s="32"/>
    </row>
    <row r="11" spans="1:23" ht="30" customHeight="1">
      <c r="A11" s="33"/>
      <c r="B11" s="34"/>
      <c r="C11" s="35"/>
      <c r="D11" s="143" t="s">
        <v>52</v>
      </c>
      <c r="E11" s="36" t="s">
        <v>53</v>
      </c>
      <c r="F11" s="37"/>
      <c r="G11" s="32"/>
      <c r="H11" s="32"/>
      <c r="I11" s="37"/>
      <c r="J11" s="32"/>
      <c r="K11" s="32"/>
      <c r="L11" s="32"/>
      <c r="M11" s="32"/>
      <c r="N11" s="32" t="s">
        <v>190</v>
      </c>
      <c r="O11" s="32"/>
      <c r="P11" s="32"/>
      <c r="Q11" s="32"/>
      <c r="R11" s="32"/>
      <c r="S11" s="32"/>
      <c r="T11" s="32"/>
      <c r="U11" s="32"/>
      <c r="V11" s="32"/>
    </row>
    <row r="12" spans="1:23" ht="30" customHeight="1">
      <c r="A12" s="33"/>
      <c r="B12" s="34"/>
      <c r="C12" s="35"/>
      <c r="D12" s="143" t="s">
        <v>54</v>
      </c>
      <c r="E12" s="31" t="s">
        <v>55</v>
      </c>
      <c r="F12" s="32"/>
      <c r="G12" s="32"/>
      <c r="H12" s="32"/>
      <c r="I12" s="32"/>
      <c r="J12" s="32"/>
      <c r="K12" s="32"/>
      <c r="L12" s="32"/>
      <c r="M12" s="32" t="s">
        <v>56</v>
      </c>
      <c r="N12" s="32" t="s">
        <v>56</v>
      </c>
      <c r="O12" s="32"/>
      <c r="P12" s="32"/>
      <c r="Q12" s="32" t="s">
        <v>191</v>
      </c>
      <c r="R12" s="32" t="s">
        <v>191</v>
      </c>
      <c r="S12" s="32"/>
      <c r="T12" s="32"/>
      <c r="U12" s="32"/>
      <c r="V12" s="32"/>
    </row>
    <row r="13" spans="1:23" ht="30" customHeight="1">
      <c r="A13" s="33"/>
      <c r="B13" s="34"/>
      <c r="C13" s="35"/>
      <c r="D13" s="143" t="s">
        <v>192</v>
      </c>
      <c r="E13" s="31" t="s">
        <v>59</v>
      </c>
      <c r="F13" s="32"/>
      <c r="G13" s="32"/>
      <c r="H13" s="32"/>
      <c r="I13" s="32"/>
      <c r="J13" s="32"/>
      <c r="K13" s="32" t="s">
        <v>193</v>
      </c>
      <c r="L13" s="32" t="s">
        <v>193</v>
      </c>
      <c r="M13" s="32" t="s">
        <v>194</v>
      </c>
      <c r="N13" s="32" t="s">
        <v>41</v>
      </c>
      <c r="O13" s="32" t="s">
        <v>41</v>
      </c>
      <c r="P13" s="32" t="s">
        <v>193</v>
      </c>
      <c r="Q13" s="32" t="s">
        <v>193</v>
      </c>
      <c r="R13" s="32" t="s">
        <v>193</v>
      </c>
      <c r="S13" s="32" t="s">
        <v>65</v>
      </c>
      <c r="T13" s="32"/>
      <c r="U13" s="32"/>
      <c r="V13" s="32"/>
    </row>
    <row r="14" spans="1:23" ht="30" customHeight="1">
      <c r="A14" s="33"/>
      <c r="B14" s="34"/>
      <c r="C14" s="35"/>
      <c r="D14" s="143" t="s">
        <v>195</v>
      </c>
      <c r="E14" s="31" t="s">
        <v>196</v>
      </c>
      <c r="F14" s="32"/>
      <c r="G14" s="32"/>
      <c r="H14" s="32"/>
      <c r="I14" s="32"/>
      <c r="J14" s="32"/>
      <c r="K14" s="32" t="s">
        <v>197</v>
      </c>
      <c r="L14" s="32" t="s">
        <v>197</v>
      </c>
      <c r="M14" s="32" t="s">
        <v>198</v>
      </c>
      <c r="N14" s="32"/>
      <c r="O14" s="32"/>
      <c r="P14" s="32"/>
      <c r="Q14" s="32"/>
      <c r="R14" s="32"/>
      <c r="S14" s="32"/>
      <c r="T14" s="32"/>
      <c r="U14" s="32"/>
      <c r="V14" s="32"/>
    </row>
    <row r="15" spans="1:23" ht="30" customHeight="1">
      <c r="A15" s="33"/>
      <c r="B15" s="34"/>
      <c r="C15" s="35"/>
      <c r="D15" s="143" t="s">
        <v>62</v>
      </c>
      <c r="E15" s="31" t="s">
        <v>63</v>
      </c>
      <c r="F15" s="32"/>
      <c r="G15" s="32"/>
      <c r="H15" s="32"/>
      <c r="I15" s="32"/>
      <c r="J15" s="32"/>
      <c r="K15" s="32"/>
      <c r="L15" s="32"/>
      <c r="M15" s="32"/>
      <c r="N15" s="32"/>
      <c r="O15" s="32" t="s">
        <v>199</v>
      </c>
      <c r="P15" s="32" t="s">
        <v>199</v>
      </c>
      <c r="Q15" s="32"/>
      <c r="R15" s="32"/>
      <c r="S15" s="32"/>
      <c r="T15" s="32"/>
      <c r="U15" s="32"/>
      <c r="V15" s="32"/>
    </row>
    <row r="16" spans="1:23" ht="30" customHeight="1">
      <c r="A16" s="38"/>
      <c r="B16" s="39" t="s">
        <v>68</v>
      </c>
      <c r="C16" s="40" t="s">
        <v>69</v>
      </c>
      <c r="D16" s="144" t="s">
        <v>70</v>
      </c>
      <c r="E16" s="144" t="s">
        <v>71</v>
      </c>
      <c r="F16" s="41" t="s">
        <v>72</v>
      </c>
      <c r="G16" s="41" t="s">
        <v>72</v>
      </c>
      <c r="H16" s="41" t="s">
        <v>72</v>
      </c>
      <c r="I16" s="41" t="s">
        <v>72</v>
      </c>
      <c r="J16" s="41" t="s">
        <v>72</v>
      </c>
      <c r="K16" s="42" t="s">
        <v>72</v>
      </c>
      <c r="L16" s="41" t="s">
        <v>72</v>
      </c>
      <c r="M16" s="41" t="s">
        <v>72</v>
      </c>
      <c r="N16" s="41" t="s">
        <v>72</v>
      </c>
      <c r="O16" s="41" t="s">
        <v>72</v>
      </c>
      <c r="P16" s="41" t="s">
        <v>72</v>
      </c>
      <c r="Q16" s="41" t="s">
        <v>72</v>
      </c>
      <c r="R16" s="41" t="s">
        <v>72</v>
      </c>
      <c r="S16" s="41" t="s">
        <v>72</v>
      </c>
      <c r="T16" s="41" t="s">
        <v>72</v>
      </c>
      <c r="U16" s="41" t="s">
        <v>72</v>
      </c>
      <c r="V16" s="41" t="s">
        <v>72</v>
      </c>
    </row>
    <row r="17" spans="1:23" ht="30" customHeight="1" thickBot="1">
      <c r="A17" s="23"/>
      <c r="B17" s="39"/>
      <c r="C17" s="40"/>
      <c r="D17" s="145"/>
      <c r="E17" s="146"/>
      <c r="F17" s="26"/>
      <c r="G17" s="26"/>
      <c r="H17" s="26"/>
      <c r="I17" s="26"/>
      <c r="J17" s="43"/>
      <c r="K17" s="43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3" s="4" customFormat="1" ht="26.25" customHeight="1">
      <c r="A18" s="7" t="s">
        <v>5</v>
      </c>
      <c r="B18" s="8" t="s">
        <v>6</v>
      </c>
      <c r="C18" s="9"/>
      <c r="D18" s="9" t="s">
        <v>7</v>
      </c>
      <c r="E18" s="10"/>
      <c r="F18" s="11" t="s">
        <v>22</v>
      </c>
      <c r="G18" s="11"/>
      <c r="H18" s="11" t="s">
        <v>9</v>
      </c>
      <c r="I18" s="11"/>
      <c r="J18" s="11" t="s">
        <v>161</v>
      </c>
      <c r="K18" s="11" t="str">
        <f t="shared" ref="K18:S18" si="0">K4</f>
        <v>石川な</v>
      </c>
      <c r="L18" s="11" t="str">
        <f t="shared" si="0"/>
        <v>衣笠</v>
      </c>
      <c r="M18" s="11" t="s">
        <v>200</v>
      </c>
      <c r="N18" s="11" t="str">
        <f t="shared" si="0"/>
        <v>小萩</v>
      </c>
      <c r="O18" s="11" t="str">
        <f t="shared" si="0"/>
        <v>植田</v>
      </c>
      <c r="P18" s="11" t="str">
        <f t="shared" si="0"/>
        <v>原田</v>
      </c>
      <c r="Q18" s="11" t="str">
        <f t="shared" si="0"/>
        <v>福田</v>
      </c>
      <c r="R18" s="11" t="str">
        <f>R4</f>
        <v>宗</v>
      </c>
      <c r="S18" s="11" t="str">
        <f t="shared" si="0"/>
        <v>豊田</v>
      </c>
      <c r="T18" s="11" t="str">
        <f>T4</f>
        <v>政近</v>
      </c>
      <c r="U18" s="11" t="str">
        <f>U4</f>
        <v>川崎</v>
      </c>
      <c r="V18" s="11" t="str">
        <f>V4</f>
        <v>田中</v>
      </c>
      <c r="W18" s="3"/>
    </row>
    <row r="19" spans="1:23" ht="36.75" customHeight="1">
      <c r="A19" s="44" t="s">
        <v>73</v>
      </c>
      <c r="B19" s="45" t="s">
        <v>201</v>
      </c>
      <c r="C19" s="46"/>
      <c r="D19" s="147" t="s">
        <v>74</v>
      </c>
      <c r="E19" s="47" t="s">
        <v>75</v>
      </c>
      <c r="F19" s="48"/>
      <c r="G19" s="32"/>
      <c r="H19" s="32"/>
      <c r="I19" s="49"/>
      <c r="J19" s="32" t="s">
        <v>202</v>
      </c>
      <c r="K19" s="32" t="s">
        <v>203</v>
      </c>
      <c r="L19" s="32" t="s">
        <v>203</v>
      </c>
      <c r="M19" s="51" t="s">
        <v>56</v>
      </c>
      <c r="N19" s="51" t="s">
        <v>204</v>
      </c>
      <c r="O19" s="32" t="s">
        <v>81</v>
      </c>
      <c r="P19" s="32" t="s">
        <v>81</v>
      </c>
      <c r="Q19" s="32" t="s">
        <v>205</v>
      </c>
      <c r="R19" s="32" t="s">
        <v>206</v>
      </c>
      <c r="S19" s="51" t="s">
        <v>207</v>
      </c>
      <c r="T19" s="32" t="s">
        <v>205</v>
      </c>
      <c r="U19" s="32" t="s">
        <v>205</v>
      </c>
      <c r="V19" s="56"/>
    </row>
    <row r="20" spans="1:23" ht="30" customHeight="1">
      <c r="A20" s="54" t="s">
        <v>83</v>
      </c>
      <c r="B20" s="45" t="s">
        <v>208</v>
      </c>
      <c r="C20" s="46" t="s">
        <v>209</v>
      </c>
      <c r="D20" s="148" t="s">
        <v>210</v>
      </c>
      <c r="E20" s="47" t="s">
        <v>85</v>
      </c>
      <c r="F20" s="48" t="s">
        <v>136</v>
      </c>
      <c r="G20" s="32" t="s">
        <v>211</v>
      </c>
      <c r="H20" s="37" t="s">
        <v>212</v>
      </c>
      <c r="I20" s="32" t="s">
        <v>213</v>
      </c>
      <c r="J20" s="32" t="s">
        <v>202</v>
      </c>
      <c r="K20" s="52" t="s">
        <v>203</v>
      </c>
      <c r="L20" s="52" t="s">
        <v>203</v>
      </c>
      <c r="M20" s="52" t="s">
        <v>203</v>
      </c>
      <c r="N20" s="32" t="s">
        <v>214</v>
      </c>
      <c r="O20" s="51" t="s">
        <v>90</v>
      </c>
      <c r="P20" s="51" t="s">
        <v>90</v>
      </c>
      <c r="Q20" s="32"/>
      <c r="R20" s="55"/>
      <c r="S20" s="32" t="s">
        <v>215</v>
      </c>
      <c r="T20" s="32"/>
      <c r="U20" s="55"/>
      <c r="V20" s="56"/>
    </row>
    <row r="21" spans="1:23" ht="30" customHeight="1">
      <c r="A21" s="54" t="s">
        <v>92</v>
      </c>
      <c r="B21" s="57" t="s">
        <v>216</v>
      </c>
      <c r="C21" s="46" t="s">
        <v>217</v>
      </c>
      <c r="D21" s="148" t="s">
        <v>218</v>
      </c>
      <c r="E21" s="47" t="s">
        <v>85</v>
      </c>
      <c r="F21" s="48" t="s">
        <v>136</v>
      </c>
      <c r="G21" s="32" t="s">
        <v>211</v>
      </c>
      <c r="H21" s="37" t="s">
        <v>212</v>
      </c>
      <c r="I21" s="32" t="s">
        <v>213</v>
      </c>
      <c r="J21" s="32" t="s">
        <v>202</v>
      </c>
      <c r="K21" s="52"/>
      <c r="L21" s="55"/>
      <c r="M21" s="55"/>
      <c r="N21" s="32" t="s">
        <v>214</v>
      </c>
      <c r="O21" s="51" t="s">
        <v>90</v>
      </c>
      <c r="P21" s="51" t="s">
        <v>90</v>
      </c>
      <c r="Q21" s="32"/>
      <c r="R21" s="32"/>
      <c r="S21" s="32" t="s">
        <v>215</v>
      </c>
      <c r="T21" s="32"/>
      <c r="U21" s="32"/>
      <c r="V21" s="56"/>
    </row>
    <row r="22" spans="1:23" ht="30" customHeight="1">
      <c r="A22" s="54" t="s">
        <v>94</v>
      </c>
      <c r="B22" s="57" t="s">
        <v>219</v>
      </c>
      <c r="C22" s="46" t="s">
        <v>220</v>
      </c>
      <c r="D22" s="148" t="s">
        <v>221</v>
      </c>
      <c r="E22" s="47" t="s">
        <v>85</v>
      </c>
      <c r="F22" s="48" t="s">
        <v>136</v>
      </c>
      <c r="G22" s="32" t="s">
        <v>211</v>
      </c>
      <c r="H22" s="37" t="s">
        <v>212</v>
      </c>
      <c r="I22" s="32" t="s">
        <v>213</v>
      </c>
      <c r="J22" s="51" t="s">
        <v>202</v>
      </c>
      <c r="K22" s="52"/>
      <c r="L22" s="55"/>
      <c r="M22" s="55"/>
      <c r="N22" s="32" t="s">
        <v>214</v>
      </c>
      <c r="O22" s="51" t="s">
        <v>90</v>
      </c>
      <c r="P22" s="51" t="s">
        <v>90</v>
      </c>
      <c r="Q22" s="55" t="s">
        <v>222</v>
      </c>
      <c r="R22" s="55" t="s">
        <v>222</v>
      </c>
      <c r="S22" s="32" t="s">
        <v>215</v>
      </c>
      <c r="T22" s="55" t="s">
        <v>222</v>
      </c>
      <c r="U22" s="32"/>
      <c r="V22" s="56"/>
    </row>
    <row r="23" spans="1:23" ht="30" customHeight="1">
      <c r="A23" s="58">
        <v>4</v>
      </c>
      <c r="B23" s="57" t="s">
        <v>223</v>
      </c>
      <c r="C23" s="46" t="s">
        <v>224</v>
      </c>
      <c r="D23" s="148" t="s">
        <v>225</v>
      </c>
      <c r="E23" s="47" t="s">
        <v>85</v>
      </c>
      <c r="F23" s="48" t="s">
        <v>136</v>
      </c>
      <c r="G23" s="32" t="s">
        <v>211</v>
      </c>
      <c r="H23" s="37" t="s">
        <v>212</v>
      </c>
      <c r="I23" s="32" t="s">
        <v>213</v>
      </c>
      <c r="J23" s="32" t="s">
        <v>202</v>
      </c>
      <c r="K23" s="52" t="s">
        <v>226</v>
      </c>
      <c r="L23" s="52" t="s">
        <v>226</v>
      </c>
      <c r="M23" s="52" t="s">
        <v>226</v>
      </c>
      <c r="N23" s="52" t="s">
        <v>226</v>
      </c>
      <c r="O23" s="51" t="s">
        <v>90</v>
      </c>
      <c r="P23" s="51" t="s">
        <v>90</v>
      </c>
      <c r="Q23" s="52" t="s">
        <v>226</v>
      </c>
      <c r="R23" s="52" t="s">
        <v>226</v>
      </c>
      <c r="S23" s="32" t="s">
        <v>215</v>
      </c>
      <c r="T23" s="52" t="s">
        <v>226</v>
      </c>
      <c r="U23" s="52" t="s">
        <v>226</v>
      </c>
      <c r="V23" s="50"/>
    </row>
    <row r="24" spans="1:23" ht="30" customHeight="1">
      <c r="A24" s="58">
        <v>5</v>
      </c>
      <c r="B24" s="57" t="s">
        <v>227</v>
      </c>
      <c r="C24" s="46" t="s">
        <v>228</v>
      </c>
      <c r="D24" s="148" t="s">
        <v>229</v>
      </c>
      <c r="E24" s="60" t="s">
        <v>230</v>
      </c>
      <c r="F24" s="48"/>
      <c r="G24" s="32"/>
      <c r="H24" s="37"/>
      <c r="I24" s="32"/>
      <c r="J24" s="32" t="s">
        <v>202</v>
      </c>
      <c r="K24" s="52" t="s">
        <v>231</v>
      </c>
      <c r="L24" s="52" t="s">
        <v>231</v>
      </c>
      <c r="M24" s="52" t="s">
        <v>231</v>
      </c>
      <c r="N24" s="53" t="s">
        <v>232</v>
      </c>
      <c r="O24" s="32" t="s">
        <v>233</v>
      </c>
      <c r="P24" s="59" t="s">
        <v>112</v>
      </c>
      <c r="Q24" s="61" t="s">
        <v>234</v>
      </c>
      <c r="R24" s="32" t="s">
        <v>206</v>
      </c>
      <c r="S24" s="61" t="s">
        <v>234</v>
      </c>
      <c r="T24" s="61" t="s">
        <v>234</v>
      </c>
      <c r="U24" s="61" t="s">
        <v>234</v>
      </c>
      <c r="V24" s="50"/>
    </row>
    <row r="25" spans="1:23" ht="30" customHeight="1">
      <c r="A25" s="58">
        <v>6</v>
      </c>
      <c r="B25" s="57" t="s">
        <v>235</v>
      </c>
      <c r="C25" s="46" t="s">
        <v>236</v>
      </c>
      <c r="D25" s="149" t="s">
        <v>237</v>
      </c>
      <c r="E25" s="47"/>
      <c r="F25" s="48" t="s">
        <v>136</v>
      </c>
      <c r="G25" s="32" t="s">
        <v>211</v>
      </c>
      <c r="H25" s="37" t="s">
        <v>212</v>
      </c>
      <c r="I25" s="32" t="s">
        <v>213</v>
      </c>
      <c r="J25" s="51" t="s">
        <v>202</v>
      </c>
      <c r="K25" s="62"/>
      <c r="L25" s="55"/>
      <c r="M25" s="55"/>
      <c r="N25" s="32" t="s">
        <v>214</v>
      </c>
      <c r="O25" s="51" t="s">
        <v>90</v>
      </c>
      <c r="P25" s="51" t="s">
        <v>90</v>
      </c>
      <c r="Q25" s="55"/>
      <c r="R25" s="55"/>
      <c r="S25" s="32" t="s">
        <v>215</v>
      </c>
      <c r="T25" s="55"/>
      <c r="U25" s="62"/>
      <c r="V25" s="55"/>
    </row>
    <row r="26" spans="1:23" ht="30" customHeight="1">
      <c r="A26" s="58">
        <v>7</v>
      </c>
      <c r="B26" s="57" t="s">
        <v>238</v>
      </c>
      <c r="C26" s="46" t="s">
        <v>239</v>
      </c>
      <c r="D26" s="149" t="s">
        <v>240</v>
      </c>
      <c r="E26" s="47"/>
      <c r="F26" s="48" t="s">
        <v>136</v>
      </c>
      <c r="G26" s="32" t="s">
        <v>211</v>
      </c>
      <c r="H26" s="37" t="s">
        <v>212</v>
      </c>
      <c r="I26" s="32" t="s">
        <v>213</v>
      </c>
      <c r="J26" s="59" t="s">
        <v>105</v>
      </c>
      <c r="K26" s="52"/>
      <c r="L26" s="59"/>
      <c r="M26" s="52"/>
      <c r="N26" s="55"/>
      <c r="O26" s="51" t="s">
        <v>90</v>
      </c>
      <c r="P26" s="51" t="s">
        <v>90</v>
      </c>
      <c r="Q26" s="76" t="s">
        <v>241</v>
      </c>
      <c r="R26" s="76" t="s">
        <v>241</v>
      </c>
      <c r="S26" s="32" t="s">
        <v>215</v>
      </c>
      <c r="T26" s="76" t="s">
        <v>241</v>
      </c>
      <c r="U26" s="50"/>
      <c r="V26" s="55"/>
    </row>
    <row r="27" spans="1:23" ht="30" customHeight="1">
      <c r="A27" s="58">
        <v>8</v>
      </c>
      <c r="B27" s="57" t="s">
        <v>242</v>
      </c>
      <c r="C27" s="63" t="s">
        <v>220</v>
      </c>
      <c r="D27" s="149" t="s">
        <v>243</v>
      </c>
      <c r="E27" s="60" t="s">
        <v>230</v>
      </c>
      <c r="F27" s="48" t="s">
        <v>136</v>
      </c>
      <c r="G27" s="32" t="s">
        <v>211</v>
      </c>
      <c r="H27" s="37" t="s">
        <v>212</v>
      </c>
      <c r="I27" s="32" t="s">
        <v>213</v>
      </c>
      <c r="J27" s="51" t="s">
        <v>202</v>
      </c>
      <c r="K27" s="52" t="s">
        <v>244</v>
      </c>
      <c r="L27" s="52" t="s">
        <v>244</v>
      </c>
      <c r="M27" s="52" t="s">
        <v>244</v>
      </c>
      <c r="N27" s="50" t="s">
        <v>141</v>
      </c>
      <c r="O27" s="32" t="s">
        <v>233</v>
      </c>
      <c r="P27" s="59" t="s">
        <v>112</v>
      </c>
      <c r="Q27" s="61" t="s">
        <v>245</v>
      </c>
      <c r="R27" s="32" t="s">
        <v>206</v>
      </c>
      <c r="S27" s="61" t="s">
        <v>245</v>
      </c>
      <c r="T27" s="61" t="s">
        <v>245</v>
      </c>
      <c r="U27" s="61" t="s">
        <v>245</v>
      </c>
      <c r="V27" s="50"/>
    </row>
    <row r="28" spans="1:23" ht="30" customHeight="1">
      <c r="A28" s="58">
        <v>9</v>
      </c>
      <c r="B28" s="57" t="s">
        <v>246</v>
      </c>
      <c r="C28" s="63" t="s">
        <v>220</v>
      </c>
      <c r="D28" s="149" t="s">
        <v>247</v>
      </c>
      <c r="E28" s="64"/>
      <c r="F28" s="48"/>
      <c r="G28" s="32"/>
      <c r="H28" s="51"/>
      <c r="I28" s="51"/>
      <c r="J28" s="51" t="s">
        <v>202</v>
      </c>
      <c r="K28" s="59" t="s">
        <v>248</v>
      </c>
      <c r="L28" s="59" t="s">
        <v>248</v>
      </c>
      <c r="M28" s="59" t="s">
        <v>248</v>
      </c>
      <c r="N28" s="32" t="s">
        <v>214</v>
      </c>
      <c r="O28" s="51" t="s">
        <v>90</v>
      </c>
      <c r="P28" s="51" t="s">
        <v>90</v>
      </c>
      <c r="Q28" s="55" t="s">
        <v>222</v>
      </c>
      <c r="R28" s="55" t="s">
        <v>222</v>
      </c>
      <c r="S28" s="32" t="s">
        <v>215</v>
      </c>
      <c r="T28" s="55" t="s">
        <v>222</v>
      </c>
      <c r="U28" s="56"/>
      <c r="V28" s="32"/>
    </row>
    <row r="29" spans="1:23" ht="30" customHeight="1">
      <c r="A29" s="58">
        <v>10</v>
      </c>
      <c r="B29" s="66">
        <v>0.70833333333333337</v>
      </c>
      <c r="C29" s="63" t="s">
        <v>249</v>
      </c>
      <c r="D29" s="149" t="s">
        <v>250</v>
      </c>
      <c r="E29" s="67" t="s">
        <v>251</v>
      </c>
      <c r="F29" s="48" t="s">
        <v>136</v>
      </c>
      <c r="G29" s="32" t="s">
        <v>211</v>
      </c>
      <c r="H29" s="37" t="s">
        <v>212</v>
      </c>
      <c r="I29" s="32" t="s">
        <v>213</v>
      </c>
      <c r="J29" s="51" t="s">
        <v>202</v>
      </c>
      <c r="K29" s="52"/>
      <c r="L29" s="52"/>
      <c r="M29" s="59"/>
      <c r="N29" s="50" t="s">
        <v>104</v>
      </c>
      <c r="O29" s="51" t="s">
        <v>90</v>
      </c>
      <c r="P29" s="59" t="s">
        <v>105</v>
      </c>
      <c r="Q29" s="56" t="s">
        <v>106</v>
      </c>
      <c r="R29" s="56" t="s">
        <v>106</v>
      </c>
      <c r="S29" s="32" t="s">
        <v>215</v>
      </c>
      <c r="T29" s="56" t="s">
        <v>106</v>
      </c>
      <c r="U29" s="56" t="s">
        <v>106</v>
      </c>
      <c r="V29" s="50" t="s">
        <v>104</v>
      </c>
    </row>
    <row r="30" spans="1:23" ht="30" customHeight="1">
      <c r="A30" s="58">
        <v>11</v>
      </c>
      <c r="B30" s="66">
        <v>0.73263888888888884</v>
      </c>
      <c r="C30" s="63" t="s">
        <v>252</v>
      </c>
      <c r="D30" s="68" t="s">
        <v>253</v>
      </c>
      <c r="E30" s="69" t="s">
        <v>254</v>
      </c>
      <c r="F30" s="48"/>
      <c r="G30" s="32"/>
      <c r="H30" s="51"/>
      <c r="I30" s="51"/>
      <c r="J30" s="51" t="s">
        <v>202</v>
      </c>
      <c r="K30" s="52" t="s">
        <v>113</v>
      </c>
      <c r="L30" s="52" t="s">
        <v>113</v>
      </c>
      <c r="M30" s="52" t="s">
        <v>113</v>
      </c>
      <c r="N30" s="50" t="s">
        <v>141</v>
      </c>
      <c r="O30" s="32" t="s">
        <v>233</v>
      </c>
      <c r="P30" s="59" t="s">
        <v>112</v>
      </c>
      <c r="Q30" s="56" t="s">
        <v>142</v>
      </c>
      <c r="R30" s="32" t="s">
        <v>206</v>
      </c>
      <c r="S30" s="56" t="s">
        <v>142</v>
      </c>
      <c r="T30" s="56" t="s">
        <v>142</v>
      </c>
      <c r="U30" s="56" t="s">
        <v>142</v>
      </c>
      <c r="V30" s="50" t="s">
        <v>141</v>
      </c>
    </row>
    <row r="31" spans="1:23" ht="30" customHeight="1">
      <c r="A31" s="58">
        <v>12</v>
      </c>
      <c r="B31" s="66">
        <v>0.76736111111111116</v>
      </c>
      <c r="C31" s="46" t="s">
        <v>255</v>
      </c>
      <c r="D31" s="150" t="s">
        <v>256</v>
      </c>
      <c r="E31" s="60"/>
      <c r="F31" s="48" t="s">
        <v>136</v>
      </c>
      <c r="G31" s="32" t="s">
        <v>211</v>
      </c>
      <c r="H31" s="37" t="s">
        <v>212</v>
      </c>
      <c r="I31" s="32" t="s">
        <v>213</v>
      </c>
      <c r="J31" s="51"/>
      <c r="K31" s="51"/>
      <c r="L31" s="55"/>
      <c r="M31" s="62"/>
      <c r="N31" s="32"/>
      <c r="O31" s="55"/>
      <c r="P31" s="55"/>
      <c r="Q31" s="55"/>
      <c r="R31" s="32"/>
      <c r="S31" s="51"/>
      <c r="T31" s="32"/>
      <c r="U31" s="51"/>
      <c r="V31" s="32"/>
    </row>
    <row r="32" spans="1:23" ht="30" customHeight="1">
      <c r="A32" s="58">
        <v>13</v>
      </c>
      <c r="B32" s="66">
        <v>0.77083333333333337</v>
      </c>
      <c r="C32" s="46" t="s">
        <v>257</v>
      </c>
      <c r="D32" s="150" t="s">
        <v>258</v>
      </c>
      <c r="E32" s="47"/>
      <c r="F32" s="48" t="s">
        <v>136</v>
      </c>
      <c r="G32" s="32" t="s">
        <v>211</v>
      </c>
      <c r="H32" s="37" t="s">
        <v>212</v>
      </c>
      <c r="I32" s="32" t="s">
        <v>213</v>
      </c>
      <c r="J32" s="51"/>
      <c r="K32" s="51"/>
      <c r="L32" s="65"/>
      <c r="M32" s="51"/>
      <c r="N32" s="32"/>
      <c r="O32" s="65"/>
      <c r="P32" s="65"/>
      <c r="Q32" s="65"/>
      <c r="R32" s="32"/>
      <c r="S32" s="51"/>
      <c r="T32" s="32"/>
      <c r="U32" s="51"/>
      <c r="V32" s="32"/>
    </row>
    <row r="33" spans="1:22" ht="30" customHeight="1">
      <c r="A33" s="58">
        <v>14</v>
      </c>
      <c r="B33" s="45" t="s">
        <v>259</v>
      </c>
      <c r="C33" s="46" t="s">
        <v>260</v>
      </c>
      <c r="D33" s="147" t="s">
        <v>261</v>
      </c>
      <c r="E33" s="47" t="s">
        <v>262</v>
      </c>
      <c r="F33" s="48"/>
      <c r="G33" s="32"/>
      <c r="H33" s="32"/>
      <c r="I33" s="32"/>
      <c r="J33" s="55"/>
      <c r="K33" s="52" t="s">
        <v>113</v>
      </c>
      <c r="L33" s="52" t="s">
        <v>113</v>
      </c>
      <c r="M33" s="52" t="s">
        <v>113</v>
      </c>
      <c r="N33" s="51" t="s">
        <v>263</v>
      </c>
      <c r="O33" s="70" t="s">
        <v>264</v>
      </c>
      <c r="P33" s="70" t="s">
        <v>264</v>
      </c>
      <c r="Q33" s="51" t="s">
        <v>153</v>
      </c>
      <c r="R33" s="32" t="s">
        <v>206</v>
      </c>
      <c r="S33" s="51" t="s">
        <v>153</v>
      </c>
      <c r="T33" s="51" t="s">
        <v>153</v>
      </c>
      <c r="U33" s="51" t="s">
        <v>263</v>
      </c>
      <c r="V33" s="51" t="s">
        <v>263</v>
      </c>
    </row>
    <row r="34" spans="1:22" ht="30" customHeight="1" thickBot="1">
      <c r="A34" s="71"/>
      <c r="B34" s="72" t="s">
        <v>265</v>
      </c>
      <c r="C34" s="73"/>
      <c r="D34" s="151"/>
      <c r="E34" s="74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spans="1:22" ht="26.25" customHeight="1">
      <c r="D35" s="3" t="s">
        <v>266</v>
      </c>
    </row>
  </sheetData>
  <phoneticPr fontId="4"/>
  <pageMargins left="0.70866141732283472" right="0.70866141732283472" top="0.74803149606299213" bottom="0.74803149606299213" header="0.31496062992125984" footer="0.31496062992125984"/>
  <pageSetup paperSize="0" orientation="portrait" horizontalDpi="4294967292" verticalDpi="4294967292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88ロール表</vt:lpstr>
      <vt:lpstr>85ロール表</vt:lpstr>
      <vt:lpstr>66ロール表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山田 小萩</dc:creator>
  <cp:keywords/>
  <dc:description/>
  <cp:lastModifiedBy>Hiroshi Murai</cp:lastModifiedBy>
  <cp:revision/>
  <dcterms:created xsi:type="dcterms:W3CDTF">2018-08-28T16:29:43Z</dcterms:created>
  <dcterms:modified xsi:type="dcterms:W3CDTF">2025-09-05T05:44:07Z</dcterms:modified>
  <cp:category/>
  <cp:contentStatus/>
</cp:coreProperties>
</file>